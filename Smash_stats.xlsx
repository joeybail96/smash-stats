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JR_Documents\"/>
    </mc:Choice>
  </mc:AlternateContent>
  <xr:revisionPtr revIDLastSave="0" documentId="13_ncr:1_{793E64B7-898E-4698-9C75-D73A47C3EF1E}" xr6:coauthVersionLast="47" xr6:coauthVersionMax="47" xr10:uidLastSave="{00000000-0000-0000-0000-000000000000}"/>
  <bookViews>
    <workbookView xWindow="-23505" yWindow="2685" windowWidth="19875" windowHeight="14175" xr2:uid="{AD641D7E-FFD1-4C0D-8E07-9B801FAD4B3A}"/>
  </bookViews>
  <sheets>
    <sheet name="1-16 (2)" sheetId="10" r:id="rId1"/>
    <sheet name="1-16" sheetId="9" r:id="rId2"/>
    <sheet name="1-12" sheetId="8" r:id="rId3"/>
    <sheet name="1-8" sheetId="7" r:id="rId4"/>
    <sheet name="1-4" sheetId="6" r:id="rId5"/>
    <sheet name="12-19" sheetId="4" r:id="rId6"/>
    <sheet name="12-18" sheetId="5" r:id="rId7"/>
    <sheet name="12-14" sheetId="2" r:id="rId8"/>
    <sheet name="12-12" sheetId="1" r:id="rId9"/>
    <sheet name="12-6" sheetId="3" r:id="rId10"/>
    <sheet name="Sheet2" sheetId="11" r:id="rId11"/>
    <sheet name="Sheet3" sheetId="12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0" l="1"/>
  <c r="L8" i="10"/>
  <c r="K8" i="10"/>
  <c r="J8" i="10"/>
  <c r="I8" i="10"/>
  <c r="H8" i="10"/>
  <c r="G8" i="10"/>
  <c r="F8" i="10"/>
  <c r="E8" i="10"/>
  <c r="D8" i="10"/>
  <c r="C8" i="10"/>
  <c r="B8" i="10"/>
  <c r="O7" i="10"/>
  <c r="N7" i="10"/>
  <c r="O6" i="10"/>
  <c r="N6" i="10"/>
  <c r="O5" i="10"/>
  <c r="N5" i="10"/>
  <c r="O4" i="10"/>
  <c r="N4" i="10"/>
  <c r="O3" i="10"/>
  <c r="N3" i="10"/>
  <c r="O2" i="10"/>
  <c r="N2" i="10"/>
  <c r="M8" i="9"/>
  <c r="L8" i="9"/>
  <c r="K8" i="9"/>
  <c r="J8" i="9"/>
  <c r="I8" i="9"/>
  <c r="H8" i="9"/>
  <c r="G8" i="9"/>
  <c r="F8" i="9"/>
  <c r="E8" i="9"/>
  <c r="D8" i="9"/>
  <c r="C8" i="9"/>
  <c r="B8" i="9"/>
  <c r="O7" i="9"/>
  <c r="N7" i="9"/>
  <c r="O6" i="9"/>
  <c r="N6" i="9"/>
  <c r="O5" i="9"/>
  <c r="N5" i="9"/>
  <c r="O4" i="9"/>
  <c r="N4" i="9"/>
  <c r="O3" i="9"/>
  <c r="N3" i="9"/>
  <c r="O2" i="9"/>
  <c r="N2" i="9"/>
  <c r="M8" i="8"/>
  <c r="L8" i="8"/>
  <c r="K8" i="8"/>
  <c r="J8" i="8"/>
  <c r="I8" i="8"/>
  <c r="H8" i="8"/>
  <c r="G8" i="8"/>
  <c r="F8" i="8"/>
  <c r="E8" i="8"/>
  <c r="D8" i="8"/>
  <c r="C8" i="8"/>
  <c r="B8" i="8"/>
  <c r="O7" i="8"/>
  <c r="N7" i="8"/>
  <c r="O6" i="8"/>
  <c r="N6" i="8"/>
  <c r="O5" i="8"/>
  <c r="N5" i="8"/>
  <c r="O4" i="8"/>
  <c r="N4" i="8"/>
  <c r="O3" i="8"/>
  <c r="N3" i="8"/>
  <c r="O2" i="8"/>
  <c r="N2" i="8"/>
  <c r="M8" i="7"/>
  <c r="L8" i="7"/>
  <c r="O2" i="7"/>
  <c r="O3" i="7"/>
  <c r="O4" i="7"/>
  <c r="O5" i="7"/>
  <c r="O6" i="7"/>
  <c r="O7" i="7"/>
  <c r="N7" i="7"/>
  <c r="N2" i="7"/>
  <c r="N3" i="7"/>
  <c r="N4" i="7"/>
  <c r="N5" i="7"/>
  <c r="N6" i="7"/>
  <c r="K8" i="7"/>
  <c r="J8" i="7"/>
  <c r="I8" i="7"/>
  <c r="H8" i="7"/>
  <c r="G8" i="7"/>
  <c r="F8" i="7"/>
  <c r="E8" i="7"/>
  <c r="D8" i="7"/>
  <c r="C8" i="7"/>
  <c r="B8" i="7"/>
  <c r="K7" i="6"/>
  <c r="J7" i="6"/>
  <c r="I7" i="6"/>
  <c r="H7" i="6"/>
  <c r="G7" i="6"/>
  <c r="F7" i="6"/>
  <c r="E7" i="6"/>
  <c r="D7" i="6"/>
  <c r="C7" i="6"/>
  <c r="B7" i="6"/>
  <c r="M6" i="6"/>
  <c r="L6" i="6"/>
  <c r="M5" i="6"/>
  <c r="L5" i="6"/>
  <c r="M4" i="6"/>
  <c r="L4" i="6"/>
  <c r="M3" i="6"/>
  <c r="L3" i="6"/>
  <c r="M2" i="6"/>
  <c r="L2" i="6"/>
  <c r="L7" i="6" s="1"/>
  <c r="K7" i="5"/>
  <c r="J7" i="5"/>
  <c r="I7" i="5"/>
  <c r="H7" i="5"/>
  <c r="G7" i="5"/>
  <c r="F7" i="5"/>
  <c r="E7" i="5"/>
  <c r="D7" i="5"/>
  <c r="C7" i="5"/>
  <c r="B7" i="5"/>
  <c r="M6" i="5"/>
  <c r="L6" i="5"/>
  <c r="M5" i="5"/>
  <c r="L5" i="5"/>
  <c r="M4" i="5"/>
  <c r="L4" i="5"/>
  <c r="M3" i="5"/>
  <c r="L3" i="5"/>
  <c r="M2" i="5"/>
  <c r="L2" i="5"/>
  <c r="K7" i="4"/>
  <c r="J7" i="4"/>
  <c r="I7" i="4"/>
  <c r="H7" i="4"/>
  <c r="G7" i="4"/>
  <c r="F7" i="4"/>
  <c r="E7" i="4"/>
  <c r="D7" i="4"/>
  <c r="C7" i="4"/>
  <c r="B7" i="4"/>
  <c r="M6" i="4"/>
  <c r="L6" i="4"/>
  <c r="M5" i="4"/>
  <c r="L5" i="4"/>
  <c r="M4" i="4"/>
  <c r="L4" i="4"/>
  <c r="M3" i="4"/>
  <c r="L3" i="4"/>
  <c r="M2" i="4"/>
  <c r="L2" i="4"/>
  <c r="K7" i="3"/>
  <c r="J7" i="3"/>
  <c r="I7" i="3"/>
  <c r="H7" i="3"/>
  <c r="G7" i="3"/>
  <c r="F7" i="3"/>
  <c r="E7" i="3"/>
  <c r="D7" i="3"/>
  <c r="C7" i="3"/>
  <c r="B7" i="3"/>
  <c r="M6" i="3"/>
  <c r="L6" i="3"/>
  <c r="M5" i="3"/>
  <c r="L5" i="3"/>
  <c r="M4" i="3"/>
  <c r="L4" i="3"/>
  <c r="M3" i="3"/>
  <c r="L3" i="3"/>
  <c r="M2" i="3"/>
  <c r="L2" i="3"/>
  <c r="L7" i="3" s="1"/>
  <c r="K7" i="2"/>
  <c r="J7" i="2"/>
  <c r="I7" i="2"/>
  <c r="H7" i="2"/>
  <c r="G7" i="2"/>
  <c r="F7" i="2"/>
  <c r="E7" i="2"/>
  <c r="D7" i="2"/>
  <c r="C7" i="2"/>
  <c r="B7" i="2"/>
  <c r="M6" i="2"/>
  <c r="L6" i="2"/>
  <c r="M5" i="2"/>
  <c r="L5" i="2"/>
  <c r="M4" i="2"/>
  <c r="L4" i="2"/>
  <c r="M3" i="2"/>
  <c r="L3" i="2"/>
  <c r="M2" i="2"/>
  <c r="L2" i="2"/>
  <c r="L3" i="1"/>
  <c r="M3" i="1"/>
  <c r="L4" i="1"/>
  <c r="L7" i="1" s="1"/>
  <c r="M4" i="1"/>
  <c r="L5" i="1"/>
  <c r="M5" i="1"/>
  <c r="L6" i="1"/>
  <c r="M6" i="1"/>
  <c r="M2" i="1"/>
  <c r="L2" i="1"/>
  <c r="C7" i="1"/>
  <c r="D7" i="1"/>
  <c r="E7" i="1"/>
  <c r="F7" i="1"/>
  <c r="G7" i="1"/>
  <c r="H7" i="1"/>
  <c r="I7" i="1"/>
  <c r="J7" i="1"/>
  <c r="K7" i="1"/>
  <c r="B7" i="1"/>
  <c r="N8" i="10" l="1"/>
  <c r="O8" i="10"/>
  <c r="O8" i="9"/>
  <c r="N8" i="9"/>
  <c r="N8" i="8"/>
  <c r="O8" i="8"/>
  <c r="O8" i="7"/>
  <c r="N8" i="7"/>
  <c r="M7" i="6"/>
  <c r="L7" i="5"/>
  <c r="M7" i="5"/>
  <c r="M7" i="4"/>
  <c r="L7" i="4"/>
  <c r="M7" i="3"/>
  <c r="M7" i="2"/>
  <c r="L7" i="2"/>
  <c r="M7" i="1"/>
</calcChain>
</file>

<file path=xl/sharedStrings.xml><?xml version="1.0" encoding="utf-8"?>
<sst xmlns="http://schemas.openxmlformats.org/spreadsheetml/2006/main" count="195" uniqueCount="19">
  <si>
    <t>DK</t>
  </si>
  <si>
    <t>Samus</t>
  </si>
  <si>
    <t>Yoshi</t>
  </si>
  <si>
    <t>Sephiroth</t>
  </si>
  <si>
    <t>Ganon</t>
  </si>
  <si>
    <t>Corrin</t>
  </si>
  <si>
    <t>Lucina</t>
  </si>
  <si>
    <t>Ike</t>
  </si>
  <si>
    <t>Byleth</t>
  </si>
  <si>
    <t>Greninja</t>
  </si>
  <si>
    <t>Totals</t>
  </si>
  <si>
    <t>Retired</t>
  </si>
  <si>
    <t>Bowser (Joey)</t>
  </si>
  <si>
    <t xml:space="preserve">         Joey
Adam</t>
  </si>
  <si>
    <t>Mew2</t>
  </si>
  <si>
    <t>Palutena</t>
  </si>
  <si>
    <t>Byleth (Adam)</t>
  </si>
  <si>
    <t>Mew2 (Joey)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</si>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</sst>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medium">
        <color indexed="64"/>
      </diagonal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12" xfId="0" applyBorder="1"/>
    <xf numFmtId="0" fontId="1" fillId="0" borderId="23" xfId="0" applyFont="1" applyBorder="1" applyAlignment="1">
      <alignment wrapText="1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/>
    <xf numFmtId="0" fontId="1" fillId="0" borderId="13" xfId="0" applyFont="1" applyBorder="1" applyAlignment="1">
      <alignment horizontal="left"/>
    </xf>
    <xf numFmtId="0" fontId="1" fillId="0" borderId="6" xfId="0" applyFont="1" applyBorder="1"/>
    <xf numFmtId="0" fontId="1" fillId="0" borderId="22" xfId="0" applyFont="1" applyBorder="1" applyAlignment="1">
      <alignment horizontal="left"/>
    </xf>
    <xf numFmtId="0" fontId="2" fillId="0" borderId="19" xfId="0" applyFont="1" applyBorder="1"/>
    <xf numFmtId="0" fontId="2" fillId="0" borderId="20" xfId="0" applyFont="1" applyBorder="1" applyAlignment="1">
      <alignment horizontal="left"/>
    </xf>
    <xf numFmtId="0" fontId="1" fillId="0" borderId="13" xfId="0" applyFont="1" applyBorder="1"/>
    <xf numFmtId="0" fontId="3" fillId="0" borderId="6" xfId="0" applyFont="1" applyBorder="1"/>
    <xf numFmtId="0" fontId="3" fillId="0" borderId="8" xfId="0" applyFont="1" applyBorder="1" applyAlignment="1">
      <alignment horizontal="left"/>
    </xf>
    <xf numFmtId="0" fontId="3" fillId="0" borderId="12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right"/>
    </xf>
    <xf numFmtId="0" fontId="4" fillId="0" borderId="22" xfId="0" applyFont="1" applyBorder="1"/>
    <xf numFmtId="0" fontId="4" fillId="0" borderId="7" xfId="0" applyFont="1" applyBorder="1"/>
    <xf numFmtId="0" fontId="5" fillId="0" borderId="1" xfId="0" applyFont="1" applyBorder="1"/>
    <xf numFmtId="0" fontId="5" fillId="0" borderId="3" xfId="0" applyFont="1" applyBorder="1" applyAlignment="1">
      <alignment horizontal="left"/>
    </xf>
    <xf numFmtId="0" fontId="5" fillId="0" borderId="4" xfId="0" applyFont="1" applyBorder="1"/>
    <xf numFmtId="0" fontId="5" fillId="0" borderId="5" xfId="0" applyFont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6" fillId="0" borderId="15" xfId="0" applyFont="1" applyBorder="1"/>
    <xf numFmtId="0" fontId="6" fillId="0" borderId="16" xfId="0" applyFont="1" applyBorder="1" applyAlignment="1">
      <alignment horizontal="left"/>
    </xf>
    <xf numFmtId="0" fontId="7" fillId="0" borderId="17" xfId="0" applyFont="1" applyBorder="1" applyAlignment="1">
      <alignment horizontal="right"/>
    </xf>
    <xf numFmtId="0" fontId="7" fillId="0" borderId="18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FEC2-1EB0-4944-9BEB-9021F231762F}">
  <dimension ref="A1:S10"/>
  <sheetViews>
    <sheetView tabSelected="1" workbookViewId="0">
      <selection activeCell="H6" sqref="H6"/>
    </sheetView>
  </sheetViews>
  <sheetFormatPr defaultRowHeight="15" x14ac:dyDescent="0.25"/>
  <cols>
    <col min="2" max="2" width="9.140625" customWidth="1"/>
  </cols>
  <sheetData>
    <row r="1" spans="1:19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3" t="s">
        <v>4</v>
      </c>
      <c r="K1" s="53"/>
      <c r="L1" s="54" t="s">
        <v>14</v>
      </c>
      <c r="M1" s="55"/>
      <c r="N1" s="46" t="s">
        <v>10</v>
      </c>
      <c r="O1" s="47"/>
      <c r="R1" s="48" t="s">
        <v>11</v>
      </c>
      <c r="S1" s="48"/>
    </row>
    <row r="2" spans="1:19" x14ac:dyDescent="0.25">
      <c r="A2" s="12" t="s">
        <v>5</v>
      </c>
      <c r="B2" s="2">
        <v>9</v>
      </c>
      <c r="C2" s="5">
        <v>22</v>
      </c>
      <c r="D2" s="4">
        <v>7</v>
      </c>
      <c r="E2" s="3">
        <v>9</v>
      </c>
      <c r="F2" s="2">
        <v>1</v>
      </c>
      <c r="G2" s="5">
        <v>3</v>
      </c>
      <c r="H2" s="2">
        <v>2</v>
      </c>
      <c r="I2" s="3">
        <v>7</v>
      </c>
      <c r="J2" s="35">
        <v>2</v>
      </c>
      <c r="K2" s="36">
        <v>4</v>
      </c>
      <c r="L2" s="39">
        <v>0</v>
      </c>
      <c r="M2" s="40">
        <v>1</v>
      </c>
      <c r="N2" s="20">
        <f t="shared" ref="N2:O7" si="0">SUM(B2,D2,F2,H2,L2,J2)</f>
        <v>21</v>
      </c>
      <c r="O2" s="26">
        <f t="shared" si="0"/>
        <v>46</v>
      </c>
      <c r="R2" s="49" t="s">
        <v>12</v>
      </c>
      <c r="S2" s="49"/>
    </row>
    <row r="3" spans="1:19" x14ac:dyDescent="0.25">
      <c r="A3" s="12" t="s">
        <v>6</v>
      </c>
      <c r="B3" s="6">
        <v>16</v>
      </c>
      <c r="C3" s="7">
        <v>14</v>
      </c>
      <c r="D3">
        <v>5</v>
      </c>
      <c r="E3" s="1">
        <v>11</v>
      </c>
      <c r="F3" s="6">
        <v>4</v>
      </c>
      <c r="G3" s="7">
        <v>4</v>
      </c>
      <c r="H3" s="6">
        <v>4</v>
      </c>
      <c r="I3" s="1">
        <v>5</v>
      </c>
      <c r="J3" s="37">
        <v>5</v>
      </c>
      <c r="K3" s="38">
        <v>6</v>
      </c>
      <c r="L3" s="39">
        <v>0</v>
      </c>
      <c r="M3" s="41">
        <v>1</v>
      </c>
      <c r="N3" s="20">
        <f t="shared" si="0"/>
        <v>34</v>
      </c>
      <c r="O3" s="26">
        <f t="shared" si="0"/>
        <v>41</v>
      </c>
      <c r="R3">
        <v>2</v>
      </c>
      <c r="S3" s="1">
        <v>2</v>
      </c>
    </row>
    <row r="4" spans="1:19" x14ac:dyDescent="0.25">
      <c r="A4" s="12" t="s">
        <v>7</v>
      </c>
      <c r="B4" s="6">
        <v>10</v>
      </c>
      <c r="C4" s="7">
        <v>13</v>
      </c>
      <c r="D4">
        <v>2</v>
      </c>
      <c r="E4" s="1">
        <v>1</v>
      </c>
      <c r="F4" s="6">
        <v>3</v>
      </c>
      <c r="G4" s="7">
        <v>1</v>
      </c>
      <c r="H4" s="6">
        <v>10</v>
      </c>
      <c r="I4" s="1">
        <v>1</v>
      </c>
      <c r="J4" s="37">
        <v>10</v>
      </c>
      <c r="K4" s="38">
        <v>17</v>
      </c>
      <c r="L4" s="39">
        <v>0</v>
      </c>
      <c r="M4" s="41">
        <v>1</v>
      </c>
      <c r="N4" s="20">
        <f t="shared" si="0"/>
        <v>35</v>
      </c>
      <c r="O4" s="26">
        <f t="shared" si="0"/>
        <v>34</v>
      </c>
      <c r="R4" s="49" t="s">
        <v>17</v>
      </c>
      <c r="S4" s="49"/>
    </row>
    <row r="5" spans="1:19" x14ac:dyDescent="0.25">
      <c r="A5" s="12" t="s">
        <v>9</v>
      </c>
      <c r="B5" s="6">
        <v>1</v>
      </c>
      <c r="C5" s="1">
        <v>3</v>
      </c>
      <c r="D5" s="6">
        <v>1</v>
      </c>
      <c r="E5" s="1">
        <v>7</v>
      </c>
      <c r="F5" s="6">
        <v>5</v>
      </c>
      <c r="G5" s="1">
        <v>3</v>
      </c>
      <c r="H5" s="6">
        <v>1</v>
      </c>
      <c r="I5" s="1">
        <v>4</v>
      </c>
      <c r="J5" s="37">
        <v>3</v>
      </c>
      <c r="K5" s="38">
        <v>2</v>
      </c>
      <c r="L5" s="39">
        <v>1</v>
      </c>
      <c r="M5" s="41">
        <v>0</v>
      </c>
      <c r="N5" s="20">
        <f t="shared" si="0"/>
        <v>12</v>
      </c>
      <c r="O5" s="26">
        <f t="shared" si="0"/>
        <v>19</v>
      </c>
      <c r="R5">
        <v>1</v>
      </c>
      <c r="S5" s="1">
        <v>3</v>
      </c>
    </row>
    <row r="6" spans="1:19" x14ac:dyDescent="0.25">
      <c r="A6" s="12" t="s">
        <v>15</v>
      </c>
      <c r="B6" s="6">
        <v>2</v>
      </c>
      <c r="C6" s="7">
        <v>1</v>
      </c>
      <c r="D6">
        <v>1</v>
      </c>
      <c r="E6" s="1">
        <v>2</v>
      </c>
      <c r="F6" s="6">
        <v>2</v>
      </c>
      <c r="G6" s="7">
        <v>2</v>
      </c>
      <c r="H6" s="6">
        <v>0</v>
      </c>
      <c r="I6" s="1">
        <v>1</v>
      </c>
      <c r="J6" s="37">
        <v>6</v>
      </c>
      <c r="K6" s="38">
        <v>4</v>
      </c>
      <c r="L6" s="39">
        <v>0</v>
      </c>
      <c r="M6" s="41">
        <v>0</v>
      </c>
      <c r="N6" s="20">
        <f t="shared" si="0"/>
        <v>11</v>
      </c>
      <c r="O6" s="26">
        <f t="shared" si="0"/>
        <v>10</v>
      </c>
      <c r="R6" s="49" t="s">
        <v>16</v>
      </c>
      <c r="S6" s="49"/>
    </row>
    <row r="7" spans="1:19" x14ac:dyDescent="0.25">
      <c r="A7" s="29" t="s">
        <v>8</v>
      </c>
      <c r="B7" s="27">
        <v>4</v>
      </c>
      <c r="C7" s="28">
        <v>1</v>
      </c>
      <c r="D7" s="30">
        <v>4</v>
      </c>
      <c r="E7" s="31">
        <v>5</v>
      </c>
      <c r="F7" s="27">
        <v>2</v>
      </c>
      <c r="G7" s="28">
        <v>3</v>
      </c>
      <c r="H7" s="27">
        <v>3</v>
      </c>
      <c r="I7" s="31">
        <v>1</v>
      </c>
      <c r="J7" s="27">
        <v>3</v>
      </c>
      <c r="K7" s="28">
        <v>1</v>
      </c>
      <c r="L7" s="32">
        <v>0</v>
      </c>
      <c r="M7" s="28">
        <v>0</v>
      </c>
      <c r="N7" s="34">
        <f t="shared" si="0"/>
        <v>16</v>
      </c>
      <c r="O7" s="33">
        <f t="shared" si="0"/>
        <v>11</v>
      </c>
      <c r="R7">
        <v>16</v>
      </c>
      <c r="S7" s="1">
        <v>11</v>
      </c>
    </row>
    <row r="8" spans="1:19" ht="21.75" thickBot="1" x14ac:dyDescent="0.4">
      <c r="A8" s="14" t="s">
        <v>10</v>
      </c>
      <c r="B8" s="15">
        <f>SUM(B2:B7)</f>
        <v>42</v>
      </c>
      <c r="C8" s="16">
        <f t="shared" ref="C8:I8" si="1">SUM(C2:C7)</f>
        <v>54</v>
      </c>
      <c r="D8" s="15">
        <f t="shared" si="1"/>
        <v>20</v>
      </c>
      <c r="E8" s="16">
        <f t="shared" si="1"/>
        <v>35</v>
      </c>
      <c r="F8" s="15">
        <f t="shared" si="1"/>
        <v>17</v>
      </c>
      <c r="G8" s="16">
        <f t="shared" si="1"/>
        <v>16</v>
      </c>
      <c r="H8" s="15">
        <f t="shared" si="1"/>
        <v>20</v>
      </c>
      <c r="I8" s="19">
        <f t="shared" si="1"/>
        <v>19</v>
      </c>
      <c r="J8" s="42">
        <f>SUM(J2:J7)</f>
        <v>29</v>
      </c>
      <c r="K8" s="43">
        <f>SUM(K2:K7)</f>
        <v>34</v>
      </c>
      <c r="L8" s="44">
        <f>SUM(L2:L7)</f>
        <v>1</v>
      </c>
      <c r="M8" s="45">
        <f>SUM(M2:M7)</f>
        <v>3</v>
      </c>
      <c r="N8" s="24">
        <f>SUM(N2:N7,R3)</f>
        <v>131</v>
      </c>
      <c r="O8" s="25">
        <f>SUM(O2:O7,S3)</f>
        <v>163</v>
      </c>
    </row>
    <row r="10" spans="1:19" x14ac:dyDescent="0.25">
      <c r="K10" t="s">
        <v>18</v>
      </c>
    </row>
  </sheetData>
  <mergeCells count="11">
    <mergeCell ref="N1:O1"/>
    <mergeCell ref="R1:S1"/>
    <mergeCell ref="R2:S2"/>
    <mergeCell ref="R4:S4"/>
    <mergeCell ref="R6:S6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9F534-1E4F-4874-84FA-A305BD6FF2D1}">
  <dimension ref="A1:S10"/>
  <sheetViews>
    <sheetView workbookViewId="0">
      <selection activeCell="B2" sqref="B2"/>
    </sheetView>
  </sheetViews>
  <sheetFormatPr defaultRowHeight="15" x14ac:dyDescent="0.25"/>
  <cols>
    <col min="2" max="2" width="9.140625" customWidth="1"/>
  </cols>
  <sheetData>
    <row r="1" spans="1:19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3" t="s">
        <v>4</v>
      </c>
      <c r="K1" s="53"/>
      <c r="L1" s="54" t="s">
        <v>14</v>
      </c>
      <c r="M1" s="55"/>
      <c r="N1" s="46" t="s">
        <v>10</v>
      </c>
      <c r="O1" s="47"/>
      <c r="R1" s="48" t="s">
        <v>11</v>
      </c>
      <c r="S1" s="48"/>
    </row>
    <row r="2" spans="1:19" x14ac:dyDescent="0.25">
      <c r="A2" s="12" t="s">
        <v>5</v>
      </c>
      <c r="B2" s="2">
        <v>8</v>
      </c>
      <c r="C2" s="5">
        <v>20</v>
      </c>
      <c r="D2" s="4">
        <v>7</v>
      </c>
      <c r="E2" s="3">
        <v>9</v>
      </c>
      <c r="F2" s="2">
        <v>1</v>
      </c>
      <c r="G2" s="5">
        <v>3</v>
      </c>
      <c r="H2" s="2">
        <v>2</v>
      </c>
      <c r="I2" s="3">
        <v>7</v>
      </c>
      <c r="J2" s="35">
        <v>2</v>
      </c>
      <c r="K2" s="36">
        <v>4</v>
      </c>
      <c r="L2" s="39">
        <v>0</v>
      </c>
      <c r="M2" s="40">
        <v>1</v>
      </c>
      <c r="N2" s="20">
        <f t="shared" ref="N2:O7" si="0">SUM(B2,D2,F2,H2,L2,J2)</f>
        <v>20</v>
      </c>
      <c r="O2" s="26">
        <f t="shared" si="0"/>
        <v>44</v>
      </c>
      <c r="R2" s="49" t="s">
        <v>12</v>
      </c>
      <c r="S2" s="49"/>
    </row>
    <row r="3" spans="1:19" x14ac:dyDescent="0.25">
      <c r="A3" s="12" t="s">
        <v>6</v>
      </c>
      <c r="B3" s="6">
        <v>16</v>
      </c>
      <c r="C3" s="7">
        <v>14</v>
      </c>
      <c r="D3">
        <v>5</v>
      </c>
      <c r="E3" s="1">
        <v>11</v>
      </c>
      <c r="F3" s="6">
        <v>4</v>
      </c>
      <c r="G3" s="7">
        <v>4</v>
      </c>
      <c r="H3" s="6">
        <v>2</v>
      </c>
      <c r="I3" s="1">
        <v>4</v>
      </c>
      <c r="J3" s="37">
        <v>5</v>
      </c>
      <c r="K3" s="38">
        <v>6</v>
      </c>
      <c r="L3" s="39">
        <v>0</v>
      </c>
      <c r="M3" s="41">
        <v>1</v>
      </c>
      <c r="N3" s="20">
        <f t="shared" si="0"/>
        <v>32</v>
      </c>
      <c r="O3" s="26">
        <f t="shared" si="0"/>
        <v>40</v>
      </c>
      <c r="R3">
        <v>2</v>
      </c>
      <c r="S3" s="1">
        <v>2</v>
      </c>
    </row>
    <row r="4" spans="1:19" x14ac:dyDescent="0.25">
      <c r="A4" s="12" t="s">
        <v>7</v>
      </c>
      <c r="B4" s="6">
        <v>10</v>
      </c>
      <c r="C4" s="7">
        <v>11</v>
      </c>
      <c r="D4">
        <v>2</v>
      </c>
      <c r="E4" s="1">
        <v>1</v>
      </c>
      <c r="F4" s="6">
        <v>3</v>
      </c>
      <c r="G4" s="7">
        <v>1</v>
      </c>
      <c r="H4" s="6">
        <v>10</v>
      </c>
      <c r="I4" s="1">
        <v>1</v>
      </c>
      <c r="J4" s="37">
        <v>10</v>
      </c>
      <c r="K4" s="38">
        <v>16</v>
      </c>
      <c r="L4" s="39">
        <v>0</v>
      </c>
      <c r="M4" s="41">
        <v>1</v>
      </c>
      <c r="N4" s="20">
        <f t="shared" si="0"/>
        <v>35</v>
      </c>
      <c r="O4" s="26">
        <f t="shared" si="0"/>
        <v>31</v>
      </c>
      <c r="R4" s="49" t="s">
        <v>17</v>
      </c>
      <c r="S4" s="49"/>
    </row>
    <row r="5" spans="1:19" x14ac:dyDescent="0.25">
      <c r="A5" s="12" t="s">
        <v>9</v>
      </c>
      <c r="B5" s="6">
        <v>1</v>
      </c>
      <c r="C5" s="1">
        <v>3</v>
      </c>
      <c r="D5" s="6">
        <v>1</v>
      </c>
      <c r="E5" s="1">
        <v>7</v>
      </c>
      <c r="F5" s="6">
        <v>4</v>
      </c>
      <c r="G5" s="1">
        <v>1</v>
      </c>
      <c r="H5" s="6">
        <v>1</v>
      </c>
      <c r="I5" s="1">
        <v>4</v>
      </c>
      <c r="J5" s="37">
        <v>3</v>
      </c>
      <c r="K5" s="38">
        <v>2</v>
      </c>
      <c r="L5" s="39">
        <v>1</v>
      </c>
      <c r="M5" s="41">
        <v>0</v>
      </c>
      <c r="N5" s="20">
        <f t="shared" si="0"/>
        <v>11</v>
      </c>
      <c r="O5" s="26">
        <f t="shared" si="0"/>
        <v>17</v>
      </c>
      <c r="R5">
        <v>1</v>
      </c>
      <c r="S5" s="1">
        <v>3</v>
      </c>
    </row>
    <row r="6" spans="1:19" x14ac:dyDescent="0.25">
      <c r="A6" s="12" t="s">
        <v>15</v>
      </c>
      <c r="B6" s="6">
        <v>2</v>
      </c>
      <c r="C6" s="7">
        <v>1</v>
      </c>
      <c r="D6">
        <v>1</v>
      </c>
      <c r="E6" s="1">
        <v>1</v>
      </c>
      <c r="F6" s="6">
        <v>2</v>
      </c>
      <c r="G6" s="7">
        <v>2</v>
      </c>
      <c r="H6" s="6">
        <v>0</v>
      </c>
      <c r="I6" s="1">
        <v>1</v>
      </c>
      <c r="J6" s="37">
        <v>5</v>
      </c>
      <c r="K6" s="38">
        <v>2</v>
      </c>
      <c r="L6" s="39">
        <v>0</v>
      </c>
      <c r="M6" s="41">
        <v>0</v>
      </c>
      <c r="N6" s="20">
        <f t="shared" si="0"/>
        <v>10</v>
      </c>
      <c r="O6" s="26">
        <f t="shared" si="0"/>
        <v>7</v>
      </c>
      <c r="R6" s="49" t="s">
        <v>16</v>
      </c>
      <c r="S6" s="49"/>
    </row>
    <row r="7" spans="1:19" x14ac:dyDescent="0.25">
      <c r="A7" s="29" t="s">
        <v>8</v>
      </c>
      <c r="B7" s="27">
        <v>4</v>
      </c>
      <c r="C7" s="28">
        <v>1</v>
      </c>
      <c r="D7" s="30">
        <v>4</v>
      </c>
      <c r="E7" s="31">
        <v>5</v>
      </c>
      <c r="F7" s="27">
        <v>2</v>
      </c>
      <c r="G7" s="28">
        <v>3</v>
      </c>
      <c r="H7" s="27">
        <v>3</v>
      </c>
      <c r="I7" s="31">
        <v>1</v>
      </c>
      <c r="J7" s="27">
        <v>3</v>
      </c>
      <c r="K7" s="28">
        <v>1</v>
      </c>
      <c r="L7" s="32">
        <v>0</v>
      </c>
      <c r="M7" s="28">
        <v>0</v>
      </c>
      <c r="N7" s="34">
        <f t="shared" si="0"/>
        <v>16</v>
      </c>
      <c r="O7" s="33">
        <f t="shared" si="0"/>
        <v>11</v>
      </c>
      <c r="R7">
        <v>16</v>
      </c>
      <c r="S7" s="1">
        <v>11</v>
      </c>
    </row>
    <row r="8" spans="1:19" ht="21.75" thickBot="1" x14ac:dyDescent="0.4">
      <c r="A8" s="14" t="s">
        <v>10</v>
      </c>
      <c r="B8" s="15">
        <f>SUM(B2:B7)</f>
        <v>41</v>
      </c>
      <c r="C8" s="16">
        <f t="shared" ref="C8:I8" si="1">SUM(C2:C7)</f>
        <v>50</v>
      </c>
      <c r="D8" s="15">
        <f t="shared" si="1"/>
        <v>20</v>
      </c>
      <c r="E8" s="16">
        <f t="shared" si="1"/>
        <v>34</v>
      </c>
      <c r="F8" s="15">
        <f t="shared" si="1"/>
        <v>16</v>
      </c>
      <c r="G8" s="16">
        <f t="shared" si="1"/>
        <v>14</v>
      </c>
      <c r="H8" s="15">
        <f t="shared" si="1"/>
        <v>18</v>
      </c>
      <c r="I8" s="19">
        <f t="shared" si="1"/>
        <v>18</v>
      </c>
      <c r="J8" s="42">
        <f>SUM(J2:J7)</f>
        <v>28</v>
      </c>
      <c r="K8" s="43">
        <f>SUM(K2:K7)</f>
        <v>31</v>
      </c>
      <c r="L8" s="44">
        <f>SUM(L2:L7)</f>
        <v>1</v>
      </c>
      <c r="M8" s="45">
        <f>SUM(M2:M7)</f>
        <v>3</v>
      </c>
      <c r="N8" s="24">
        <f>SUM(N2:N7,R3)</f>
        <v>126</v>
      </c>
      <c r="O8" s="25">
        <f>SUM(O2:O7,S3)</f>
        <v>152</v>
      </c>
    </row>
    <row r="10" spans="1:19" x14ac:dyDescent="0.25">
      <c r="K10" t="s">
        <v>18</v>
      </c>
    </row>
  </sheetData>
  <mergeCells count="11">
    <mergeCell ref="L1:M1"/>
    <mergeCell ref="B1:C1"/>
    <mergeCell ref="D1:E1"/>
    <mergeCell ref="F1:G1"/>
    <mergeCell ref="H1:I1"/>
    <mergeCell ref="J1:K1"/>
    <mergeCell ref="N1:O1"/>
    <mergeCell ref="R1:S1"/>
    <mergeCell ref="R2:S2"/>
    <mergeCell ref="R4:S4"/>
    <mergeCell ref="R6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AB419-630A-4AF2-A030-CF96D8D6662B}">
  <dimension ref="A1:S10"/>
  <sheetViews>
    <sheetView workbookViewId="0">
      <selection activeCell="K11" sqref="K11"/>
    </sheetView>
  </sheetViews>
  <sheetFormatPr defaultRowHeight="15" x14ac:dyDescent="0.25"/>
  <cols>
    <col min="2" max="2" width="9.140625" customWidth="1"/>
  </cols>
  <sheetData>
    <row r="1" spans="1:19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3" t="s">
        <v>4</v>
      </c>
      <c r="K1" s="53"/>
      <c r="L1" s="54" t="s">
        <v>14</v>
      </c>
      <c r="M1" s="55"/>
      <c r="N1" s="46" t="s">
        <v>10</v>
      </c>
      <c r="O1" s="47"/>
      <c r="R1" s="48" t="s">
        <v>11</v>
      </c>
      <c r="S1" s="48"/>
    </row>
    <row r="2" spans="1:19" x14ac:dyDescent="0.25">
      <c r="A2" s="12" t="s">
        <v>5</v>
      </c>
      <c r="B2" s="2">
        <v>7</v>
      </c>
      <c r="C2" s="5">
        <v>17</v>
      </c>
      <c r="D2" s="4">
        <v>7</v>
      </c>
      <c r="E2" s="3">
        <v>8</v>
      </c>
      <c r="F2" s="2">
        <v>1</v>
      </c>
      <c r="G2" s="5">
        <v>3</v>
      </c>
      <c r="H2" s="2">
        <v>1</v>
      </c>
      <c r="I2" s="3">
        <v>5</v>
      </c>
      <c r="J2" s="35">
        <v>2</v>
      </c>
      <c r="K2" s="36">
        <v>4</v>
      </c>
      <c r="L2" s="39">
        <v>0</v>
      </c>
      <c r="M2" s="40">
        <v>1</v>
      </c>
      <c r="N2" s="20">
        <f t="shared" ref="N2:O7" si="0">SUM(B2,D2,F2,H2,L2,J2)</f>
        <v>18</v>
      </c>
      <c r="O2" s="26">
        <f t="shared" si="0"/>
        <v>38</v>
      </c>
      <c r="R2" s="49" t="s">
        <v>12</v>
      </c>
      <c r="S2" s="49"/>
    </row>
    <row r="3" spans="1:19" x14ac:dyDescent="0.25">
      <c r="A3" s="12" t="s">
        <v>6</v>
      </c>
      <c r="B3" s="6">
        <v>12</v>
      </c>
      <c r="C3" s="7">
        <v>12</v>
      </c>
      <c r="D3">
        <v>5</v>
      </c>
      <c r="E3" s="1">
        <v>11</v>
      </c>
      <c r="F3" s="6">
        <v>4</v>
      </c>
      <c r="G3" s="7">
        <v>4</v>
      </c>
      <c r="H3" s="6">
        <v>2</v>
      </c>
      <c r="I3" s="1">
        <v>4</v>
      </c>
      <c r="J3" s="37">
        <v>4</v>
      </c>
      <c r="K3" s="38">
        <v>6</v>
      </c>
      <c r="L3" s="39">
        <v>0</v>
      </c>
      <c r="M3" s="41">
        <v>1</v>
      </c>
      <c r="N3" s="20">
        <f t="shared" si="0"/>
        <v>27</v>
      </c>
      <c r="O3" s="26">
        <f t="shared" si="0"/>
        <v>38</v>
      </c>
      <c r="R3">
        <v>2</v>
      </c>
      <c r="S3" s="1">
        <v>2</v>
      </c>
    </row>
    <row r="4" spans="1:19" x14ac:dyDescent="0.25">
      <c r="A4" s="12" t="s">
        <v>7</v>
      </c>
      <c r="B4" s="6">
        <v>10</v>
      </c>
      <c r="C4" s="7">
        <v>11</v>
      </c>
      <c r="D4">
        <v>2</v>
      </c>
      <c r="E4" s="1">
        <v>1</v>
      </c>
      <c r="F4" s="6">
        <v>3</v>
      </c>
      <c r="G4" s="7">
        <v>1</v>
      </c>
      <c r="H4" s="6">
        <v>10</v>
      </c>
      <c r="I4" s="1">
        <v>1</v>
      </c>
      <c r="J4" s="37">
        <v>7</v>
      </c>
      <c r="K4" s="38">
        <v>16</v>
      </c>
      <c r="L4" s="39">
        <v>0</v>
      </c>
      <c r="M4" s="41">
        <v>1</v>
      </c>
      <c r="N4" s="20">
        <f t="shared" si="0"/>
        <v>32</v>
      </c>
      <c r="O4" s="26">
        <f t="shared" si="0"/>
        <v>31</v>
      </c>
      <c r="R4" s="49" t="s">
        <v>17</v>
      </c>
      <c r="S4" s="49"/>
    </row>
    <row r="5" spans="1:19" x14ac:dyDescent="0.25">
      <c r="A5" s="12" t="s">
        <v>9</v>
      </c>
      <c r="B5" s="6">
        <v>1</v>
      </c>
      <c r="C5" s="1">
        <v>3</v>
      </c>
      <c r="D5" s="6">
        <v>1</v>
      </c>
      <c r="E5" s="1">
        <v>7</v>
      </c>
      <c r="F5" s="6">
        <v>4</v>
      </c>
      <c r="G5" s="1">
        <v>1</v>
      </c>
      <c r="H5" s="6">
        <v>1</v>
      </c>
      <c r="I5" s="1">
        <v>4</v>
      </c>
      <c r="J5" s="37">
        <v>3</v>
      </c>
      <c r="K5" s="38">
        <v>2</v>
      </c>
      <c r="L5" s="39">
        <v>1</v>
      </c>
      <c r="M5" s="41">
        <v>0</v>
      </c>
      <c r="N5" s="20">
        <f t="shared" si="0"/>
        <v>11</v>
      </c>
      <c r="O5" s="26">
        <f t="shared" si="0"/>
        <v>17</v>
      </c>
      <c r="R5">
        <v>1</v>
      </c>
      <c r="S5" s="1">
        <v>3</v>
      </c>
    </row>
    <row r="6" spans="1:19" x14ac:dyDescent="0.25">
      <c r="A6" s="12" t="s">
        <v>15</v>
      </c>
      <c r="B6" s="6">
        <v>2</v>
      </c>
      <c r="C6" s="7">
        <v>1</v>
      </c>
      <c r="D6">
        <v>1</v>
      </c>
      <c r="E6" s="1">
        <v>1</v>
      </c>
      <c r="F6" s="6">
        <v>0</v>
      </c>
      <c r="G6" s="7">
        <v>1</v>
      </c>
      <c r="H6" s="6">
        <v>0</v>
      </c>
      <c r="I6" s="1">
        <v>1</v>
      </c>
      <c r="J6" s="37">
        <v>5</v>
      </c>
      <c r="K6" s="38">
        <v>2</v>
      </c>
      <c r="L6" s="39">
        <v>0</v>
      </c>
      <c r="M6" s="41">
        <v>0</v>
      </c>
      <c r="N6" s="20">
        <f t="shared" si="0"/>
        <v>8</v>
      </c>
      <c r="O6" s="26">
        <f t="shared" si="0"/>
        <v>6</v>
      </c>
      <c r="R6" s="49" t="s">
        <v>16</v>
      </c>
      <c r="S6" s="49"/>
    </row>
    <row r="7" spans="1:19" x14ac:dyDescent="0.25">
      <c r="A7" s="29" t="s">
        <v>8</v>
      </c>
      <c r="B7" s="27">
        <v>4</v>
      </c>
      <c r="C7" s="28">
        <v>1</v>
      </c>
      <c r="D7" s="30">
        <v>4</v>
      </c>
      <c r="E7" s="31">
        <v>5</v>
      </c>
      <c r="F7" s="27">
        <v>2</v>
      </c>
      <c r="G7" s="28">
        <v>3</v>
      </c>
      <c r="H7" s="27">
        <v>3</v>
      </c>
      <c r="I7" s="31">
        <v>1</v>
      </c>
      <c r="J7" s="27">
        <v>3</v>
      </c>
      <c r="K7" s="28">
        <v>1</v>
      </c>
      <c r="L7" s="32">
        <v>0</v>
      </c>
      <c r="M7" s="28">
        <v>0</v>
      </c>
      <c r="N7" s="34">
        <f t="shared" si="0"/>
        <v>16</v>
      </c>
      <c r="O7" s="33">
        <f t="shared" si="0"/>
        <v>11</v>
      </c>
      <c r="R7">
        <v>17</v>
      </c>
      <c r="S7" s="1">
        <v>11</v>
      </c>
    </row>
    <row r="8" spans="1:19" ht="21.75" thickBot="1" x14ac:dyDescent="0.4">
      <c r="A8" s="14" t="s">
        <v>10</v>
      </c>
      <c r="B8" s="15">
        <f>SUM(B2:B7)</f>
        <v>36</v>
      </c>
      <c r="C8" s="16">
        <f t="shared" ref="C8:I8" si="1">SUM(C2:C7)</f>
        <v>45</v>
      </c>
      <c r="D8" s="15">
        <f t="shared" si="1"/>
        <v>20</v>
      </c>
      <c r="E8" s="16">
        <f t="shared" si="1"/>
        <v>33</v>
      </c>
      <c r="F8" s="15">
        <f t="shared" si="1"/>
        <v>14</v>
      </c>
      <c r="G8" s="16">
        <f t="shared" si="1"/>
        <v>13</v>
      </c>
      <c r="H8" s="15">
        <f t="shared" si="1"/>
        <v>17</v>
      </c>
      <c r="I8" s="19">
        <f t="shared" si="1"/>
        <v>16</v>
      </c>
      <c r="J8" s="42">
        <f>SUM(J2:J7)</f>
        <v>24</v>
      </c>
      <c r="K8" s="43">
        <f>SUM(K2:K7)</f>
        <v>31</v>
      </c>
      <c r="L8" s="44">
        <f>SUM(L2:L7)</f>
        <v>1</v>
      </c>
      <c r="M8" s="45">
        <f>SUM(M2:M7)</f>
        <v>3</v>
      </c>
      <c r="N8" s="24">
        <f>SUM(N2:N7,R3)</f>
        <v>114</v>
      </c>
      <c r="O8" s="25">
        <f>SUM(O2:O7,S3)</f>
        <v>143</v>
      </c>
    </row>
    <row r="10" spans="1:19" x14ac:dyDescent="0.25">
      <c r="K10" t="s">
        <v>18</v>
      </c>
    </row>
  </sheetData>
  <mergeCells count="11">
    <mergeCell ref="L1:M1"/>
    <mergeCell ref="B1:C1"/>
    <mergeCell ref="D1:E1"/>
    <mergeCell ref="F1:G1"/>
    <mergeCell ref="H1:I1"/>
    <mergeCell ref="J1:K1"/>
    <mergeCell ref="N1:O1"/>
    <mergeCell ref="R1:S1"/>
    <mergeCell ref="R2:S2"/>
    <mergeCell ref="R4:S4"/>
    <mergeCell ref="R6:S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72C6C-FDCF-40EB-9D4D-47F566AF9266}">
  <dimension ref="A1:S8"/>
  <sheetViews>
    <sheetView workbookViewId="0">
      <selection activeCell="K18" sqref="K18"/>
    </sheetView>
  </sheetViews>
  <sheetFormatPr defaultRowHeight="15" x14ac:dyDescent="0.25"/>
  <cols>
    <col min="2" max="2" width="9.140625" customWidth="1"/>
  </cols>
  <sheetData>
    <row r="1" spans="1:19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3" t="s">
        <v>4</v>
      </c>
      <c r="K1" s="53"/>
      <c r="L1" s="54" t="s">
        <v>14</v>
      </c>
      <c r="M1" s="55"/>
      <c r="N1" s="46" t="s">
        <v>10</v>
      </c>
      <c r="O1" s="47"/>
      <c r="R1" s="48" t="s">
        <v>11</v>
      </c>
      <c r="S1" s="48"/>
    </row>
    <row r="2" spans="1:19" x14ac:dyDescent="0.25">
      <c r="A2" s="12" t="s">
        <v>5</v>
      </c>
      <c r="B2" s="2">
        <v>6</v>
      </c>
      <c r="C2" s="5">
        <v>14</v>
      </c>
      <c r="D2" s="4">
        <v>7</v>
      </c>
      <c r="E2" s="3">
        <v>8</v>
      </c>
      <c r="F2" s="2">
        <v>1</v>
      </c>
      <c r="G2" s="5">
        <v>3</v>
      </c>
      <c r="H2" s="2">
        <v>1</v>
      </c>
      <c r="I2" s="3">
        <v>5</v>
      </c>
      <c r="J2" s="35">
        <v>0</v>
      </c>
      <c r="K2" s="36">
        <v>3</v>
      </c>
      <c r="L2" s="39">
        <v>0</v>
      </c>
      <c r="M2" s="40">
        <v>1</v>
      </c>
      <c r="N2" s="20">
        <f t="shared" ref="N2:O7" si="0">SUM(B2,D2,F2,H2,L2,J2)</f>
        <v>15</v>
      </c>
      <c r="O2" s="26">
        <f t="shared" si="0"/>
        <v>34</v>
      </c>
      <c r="R2" s="49" t="s">
        <v>12</v>
      </c>
      <c r="S2" s="49"/>
    </row>
    <row r="3" spans="1:19" x14ac:dyDescent="0.25">
      <c r="A3" s="12" t="s">
        <v>6</v>
      </c>
      <c r="B3" s="6">
        <v>12</v>
      </c>
      <c r="C3" s="7">
        <v>10</v>
      </c>
      <c r="D3">
        <v>5</v>
      </c>
      <c r="E3" s="1">
        <v>11</v>
      </c>
      <c r="F3" s="6">
        <v>2</v>
      </c>
      <c r="G3" s="7">
        <v>3</v>
      </c>
      <c r="H3" s="6">
        <v>2</v>
      </c>
      <c r="I3" s="1">
        <v>4</v>
      </c>
      <c r="J3" s="37">
        <v>4</v>
      </c>
      <c r="K3" s="38">
        <v>6</v>
      </c>
      <c r="L3" s="39">
        <v>0</v>
      </c>
      <c r="M3" s="41">
        <v>1</v>
      </c>
      <c r="N3" s="20">
        <f t="shared" si="0"/>
        <v>25</v>
      </c>
      <c r="O3" s="26">
        <f t="shared" si="0"/>
        <v>35</v>
      </c>
      <c r="R3">
        <v>2</v>
      </c>
      <c r="S3" s="1">
        <v>2</v>
      </c>
    </row>
    <row r="4" spans="1:19" x14ac:dyDescent="0.25">
      <c r="A4" s="12" t="s">
        <v>7</v>
      </c>
      <c r="B4" s="6">
        <v>10</v>
      </c>
      <c r="C4" s="7">
        <v>11</v>
      </c>
      <c r="D4">
        <v>2</v>
      </c>
      <c r="E4" s="1">
        <v>1</v>
      </c>
      <c r="F4" s="6">
        <v>2</v>
      </c>
      <c r="G4" s="7">
        <v>1</v>
      </c>
      <c r="H4" s="6">
        <v>8</v>
      </c>
      <c r="I4" s="1">
        <v>0</v>
      </c>
      <c r="J4" s="37">
        <v>7</v>
      </c>
      <c r="K4" s="38">
        <v>16</v>
      </c>
      <c r="L4" s="39">
        <v>0</v>
      </c>
      <c r="M4" s="41">
        <v>1</v>
      </c>
      <c r="N4" s="20">
        <f t="shared" si="0"/>
        <v>29</v>
      </c>
      <c r="O4" s="26">
        <f t="shared" si="0"/>
        <v>30</v>
      </c>
      <c r="R4" s="49" t="s">
        <v>17</v>
      </c>
      <c r="S4" s="49"/>
    </row>
    <row r="5" spans="1:19" x14ac:dyDescent="0.25">
      <c r="A5" s="12" t="s">
        <v>9</v>
      </c>
      <c r="B5" s="6">
        <v>1</v>
      </c>
      <c r="C5" s="1">
        <v>3</v>
      </c>
      <c r="D5" s="6">
        <v>1</v>
      </c>
      <c r="E5" s="1">
        <v>7</v>
      </c>
      <c r="F5" s="6">
        <v>4</v>
      </c>
      <c r="G5" s="1">
        <v>1</v>
      </c>
      <c r="H5" s="6">
        <v>1</v>
      </c>
      <c r="I5" s="1">
        <v>4</v>
      </c>
      <c r="J5" s="37">
        <v>3</v>
      </c>
      <c r="K5" s="38">
        <v>2</v>
      </c>
      <c r="L5" s="39">
        <v>1</v>
      </c>
      <c r="M5" s="41">
        <v>0</v>
      </c>
      <c r="N5" s="20">
        <f t="shared" si="0"/>
        <v>11</v>
      </c>
      <c r="O5" s="26">
        <f t="shared" si="0"/>
        <v>17</v>
      </c>
      <c r="R5">
        <v>1</v>
      </c>
      <c r="S5" s="1">
        <v>3</v>
      </c>
    </row>
    <row r="6" spans="1:19" x14ac:dyDescent="0.25">
      <c r="A6" s="12" t="s">
        <v>15</v>
      </c>
      <c r="B6" s="6">
        <v>2</v>
      </c>
      <c r="C6" s="7">
        <v>1</v>
      </c>
      <c r="D6">
        <v>0</v>
      </c>
      <c r="E6" s="1">
        <v>1</v>
      </c>
      <c r="F6" s="6">
        <v>0</v>
      </c>
      <c r="G6" s="7">
        <v>1</v>
      </c>
      <c r="H6" s="6">
        <v>0</v>
      </c>
      <c r="I6" s="1">
        <v>1</v>
      </c>
      <c r="J6" s="37">
        <v>3</v>
      </c>
      <c r="K6" s="38">
        <v>2</v>
      </c>
      <c r="L6" s="39">
        <v>0</v>
      </c>
      <c r="M6" s="41">
        <v>0</v>
      </c>
      <c r="N6" s="20">
        <f t="shared" si="0"/>
        <v>5</v>
      </c>
      <c r="O6" s="26">
        <f t="shared" si="0"/>
        <v>6</v>
      </c>
      <c r="R6" s="49" t="s">
        <v>16</v>
      </c>
      <c r="S6" s="49"/>
    </row>
    <row r="7" spans="1:19" x14ac:dyDescent="0.25">
      <c r="A7" s="29" t="s">
        <v>8</v>
      </c>
      <c r="B7" s="27">
        <v>4</v>
      </c>
      <c r="C7" s="28">
        <v>1</v>
      </c>
      <c r="D7" s="30">
        <v>4</v>
      </c>
      <c r="E7" s="31">
        <v>5</v>
      </c>
      <c r="F7" s="27">
        <v>2</v>
      </c>
      <c r="G7" s="28">
        <v>3</v>
      </c>
      <c r="H7" s="27">
        <v>3</v>
      </c>
      <c r="I7" s="31">
        <v>1</v>
      </c>
      <c r="J7" s="27">
        <v>3</v>
      </c>
      <c r="K7" s="28">
        <v>1</v>
      </c>
      <c r="L7" s="32">
        <v>0</v>
      </c>
      <c r="M7" s="28">
        <v>0</v>
      </c>
      <c r="N7" s="34">
        <f t="shared" si="0"/>
        <v>16</v>
      </c>
      <c r="O7" s="33">
        <f t="shared" si="0"/>
        <v>11</v>
      </c>
      <c r="R7">
        <v>17</v>
      </c>
      <c r="S7" s="1">
        <v>11</v>
      </c>
    </row>
    <row r="8" spans="1:19" ht="21.75" thickBot="1" x14ac:dyDescent="0.4">
      <c r="A8" s="14" t="s">
        <v>10</v>
      </c>
      <c r="B8" s="15">
        <f>SUM(B2:B7)</f>
        <v>35</v>
      </c>
      <c r="C8" s="16">
        <f t="shared" ref="C8:I8" si="1">SUM(C2:C7)</f>
        <v>40</v>
      </c>
      <c r="D8" s="15">
        <f t="shared" si="1"/>
        <v>19</v>
      </c>
      <c r="E8" s="16">
        <f t="shared" si="1"/>
        <v>33</v>
      </c>
      <c r="F8" s="15">
        <f t="shared" si="1"/>
        <v>11</v>
      </c>
      <c r="G8" s="16">
        <f t="shared" si="1"/>
        <v>12</v>
      </c>
      <c r="H8" s="15">
        <f t="shared" si="1"/>
        <v>15</v>
      </c>
      <c r="I8" s="19">
        <f t="shared" si="1"/>
        <v>15</v>
      </c>
      <c r="J8" s="42">
        <f>SUM(J2:J7)</f>
        <v>20</v>
      </c>
      <c r="K8" s="43">
        <f>SUM(K2:K7)</f>
        <v>30</v>
      </c>
      <c r="L8" s="44">
        <f>SUM(L2:L7)</f>
        <v>1</v>
      </c>
      <c r="M8" s="45">
        <f>SUM(M2:M7)</f>
        <v>3</v>
      </c>
      <c r="N8" s="24">
        <f>SUM(N2:N7,R3)</f>
        <v>103</v>
      </c>
      <c r="O8" s="25">
        <f>SUM(O2:O7,S3)</f>
        <v>135</v>
      </c>
    </row>
  </sheetData>
  <mergeCells count="11">
    <mergeCell ref="R1:S1"/>
    <mergeCell ref="R2:S2"/>
    <mergeCell ref="L1:M1"/>
    <mergeCell ref="R4:S4"/>
    <mergeCell ref="R6:S6"/>
    <mergeCell ref="N1:O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6219-CD5D-4740-B787-7EED4D7ED04B}">
  <dimension ref="A1:Q7"/>
  <sheetViews>
    <sheetView workbookViewId="0">
      <selection activeCell="K5" sqref="K5"/>
    </sheetView>
  </sheetViews>
  <sheetFormatPr defaultRowHeight="15" x14ac:dyDescent="0.25"/>
  <cols>
    <col min="2" max="2" width="9.140625" customWidth="1"/>
  </cols>
  <sheetData>
    <row r="1" spans="1:17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0" t="s">
        <v>4</v>
      </c>
      <c r="K1" s="50"/>
      <c r="L1" s="56" t="s">
        <v>10</v>
      </c>
      <c r="M1" s="47"/>
      <c r="P1" s="48" t="s">
        <v>11</v>
      </c>
      <c r="Q1" s="48"/>
    </row>
    <row r="2" spans="1:17" x14ac:dyDescent="0.25">
      <c r="A2" s="12" t="s">
        <v>5</v>
      </c>
      <c r="B2" s="2">
        <v>6</v>
      </c>
      <c r="C2" s="5">
        <v>12</v>
      </c>
      <c r="D2" s="4">
        <v>4</v>
      </c>
      <c r="E2" s="3">
        <v>6</v>
      </c>
      <c r="F2" s="2">
        <v>1</v>
      </c>
      <c r="G2" s="5">
        <v>3</v>
      </c>
      <c r="H2" s="2">
        <v>0</v>
      </c>
      <c r="I2" s="3">
        <v>4</v>
      </c>
      <c r="J2" s="2">
        <v>0</v>
      </c>
      <c r="K2" s="5">
        <v>1</v>
      </c>
      <c r="L2" s="20">
        <f>SUM(B2,D2,F2,H2,J2)</f>
        <v>11</v>
      </c>
      <c r="M2" s="21">
        <f>SUM(C2,E2,G2,I2,K2)</f>
        <v>26</v>
      </c>
      <c r="P2" s="49" t="s">
        <v>12</v>
      </c>
      <c r="Q2" s="49"/>
    </row>
    <row r="3" spans="1:17" x14ac:dyDescent="0.25">
      <c r="A3" s="12" t="s">
        <v>6</v>
      </c>
      <c r="B3" s="6">
        <v>7</v>
      </c>
      <c r="C3" s="7">
        <v>6</v>
      </c>
      <c r="D3">
        <v>5</v>
      </c>
      <c r="E3" s="1">
        <v>9</v>
      </c>
      <c r="F3" s="6">
        <v>2</v>
      </c>
      <c r="G3" s="7">
        <v>3</v>
      </c>
      <c r="H3" s="6">
        <v>2</v>
      </c>
      <c r="I3" s="1">
        <v>4</v>
      </c>
      <c r="J3" s="6">
        <v>4</v>
      </c>
      <c r="K3" s="7">
        <v>5</v>
      </c>
      <c r="L3" s="20">
        <f t="shared" ref="L3:M6" si="0">SUM(B3,D3,F3,H3,J3)</f>
        <v>20</v>
      </c>
      <c r="M3" s="21">
        <f t="shared" si="0"/>
        <v>27</v>
      </c>
      <c r="P3">
        <v>2</v>
      </c>
      <c r="Q3" s="1">
        <v>2</v>
      </c>
    </row>
    <row r="4" spans="1:17" x14ac:dyDescent="0.25">
      <c r="A4" s="12" t="s">
        <v>7</v>
      </c>
      <c r="B4" s="6">
        <v>8</v>
      </c>
      <c r="C4" s="7">
        <v>8</v>
      </c>
      <c r="D4">
        <v>1</v>
      </c>
      <c r="E4" s="1">
        <v>1</v>
      </c>
      <c r="F4" s="6">
        <v>2</v>
      </c>
      <c r="G4" s="7">
        <v>1</v>
      </c>
      <c r="H4" s="6">
        <v>6</v>
      </c>
      <c r="I4" s="1">
        <v>0</v>
      </c>
      <c r="J4" s="6">
        <v>4</v>
      </c>
      <c r="K4" s="7">
        <v>16</v>
      </c>
      <c r="L4" s="20">
        <f t="shared" si="0"/>
        <v>21</v>
      </c>
      <c r="M4" s="21">
        <f t="shared" si="0"/>
        <v>26</v>
      </c>
    </row>
    <row r="5" spans="1:17" x14ac:dyDescent="0.25">
      <c r="A5" s="12" t="s">
        <v>8</v>
      </c>
      <c r="B5" s="6">
        <v>3</v>
      </c>
      <c r="C5" s="7">
        <v>1</v>
      </c>
      <c r="D5">
        <v>4</v>
      </c>
      <c r="E5" s="1">
        <v>5</v>
      </c>
      <c r="F5" s="6">
        <v>1</v>
      </c>
      <c r="G5" s="7">
        <v>3</v>
      </c>
      <c r="H5" s="6">
        <v>3</v>
      </c>
      <c r="I5" s="1">
        <v>1</v>
      </c>
      <c r="J5" s="6">
        <v>3</v>
      </c>
      <c r="K5" s="7">
        <v>1</v>
      </c>
      <c r="L5" s="20">
        <f t="shared" si="0"/>
        <v>14</v>
      </c>
      <c r="M5" s="21">
        <f t="shared" si="0"/>
        <v>11</v>
      </c>
    </row>
    <row r="6" spans="1:17" x14ac:dyDescent="0.25">
      <c r="A6" s="12" t="s">
        <v>9</v>
      </c>
      <c r="B6" s="8">
        <v>1</v>
      </c>
      <c r="C6" s="11">
        <v>3</v>
      </c>
      <c r="D6" s="10">
        <v>0</v>
      </c>
      <c r="E6" s="9">
        <v>5</v>
      </c>
      <c r="F6" s="8">
        <v>4</v>
      </c>
      <c r="G6" s="11">
        <v>1</v>
      </c>
      <c r="H6" s="8">
        <v>1</v>
      </c>
      <c r="I6" s="9">
        <v>4</v>
      </c>
      <c r="J6" s="8">
        <v>1</v>
      </c>
      <c r="K6" s="11">
        <v>2</v>
      </c>
      <c r="L6" s="22">
        <f t="shared" si="0"/>
        <v>7</v>
      </c>
      <c r="M6" s="23">
        <f t="shared" si="0"/>
        <v>15</v>
      </c>
    </row>
    <row r="7" spans="1:17" ht="21.75" thickBot="1" x14ac:dyDescent="0.4">
      <c r="A7" s="14" t="s">
        <v>10</v>
      </c>
      <c r="B7" s="15">
        <f>SUM(B2:B6)</f>
        <v>25</v>
      </c>
      <c r="C7" s="16">
        <f t="shared" ref="C7:K7" si="1">SUM(C2:C6)</f>
        <v>30</v>
      </c>
      <c r="D7" s="17">
        <f t="shared" si="1"/>
        <v>14</v>
      </c>
      <c r="E7" s="18">
        <f t="shared" si="1"/>
        <v>26</v>
      </c>
      <c r="F7" s="15">
        <f t="shared" si="1"/>
        <v>10</v>
      </c>
      <c r="G7" s="16">
        <f t="shared" si="1"/>
        <v>11</v>
      </c>
      <c r="H7" s="15">
        <f t="shared" si="1"/>
        <v>12</v>
      </c>
      <c r="I7" s="19">
        <f t="shared" si="1"/>
        <v>13</v>
      </c>
      <c r="J7" s="17">
        <f t="shared" si="1"/>
        <v>12</v>
      </c>
      <c r="K7" s="16">
        <f t="shared" si="1"/>
        <v>25</v>
      </c>
      <c r="L7" s="24">
        <f>SUM(L2:L6,P3)</f>
        <v>75</v>
      </c>
      <c r="M7" s="25">
        <f>SUM(M2:M6,Q3)</f>
        <v>107</v>
      </c>
    </row>
  </sheetData>
  <mergeCells count="8">
    <mergeCell ref="P1:Q1"/>
    <mergeCell ref="P2:Q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CC0E-EAB6-473E-B2DF-BE3CA8ABA67D}">
  <dimension ref="A1:Q7"/>
  <sheetViews>
    <sheetView workbookViewId="0">
      <selection activeCell="B2" sqref="B2"/>
    </sheetView>
  </sheetViews>
  <sheetFormatPr defaultRowHeight="15" x14ac:dyDescent="0.25"/>
  <cols>
    <col min="2" max="2" width="9.140625" customWidth="1"/>
  </cols>
  <sheetData>
    <row r="1" spans="1:17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0" t="s">
        <v>4</v>
      </c>
      <c r="K1" s="50"/>
      <c r="L1" s="56" t="s">
        <v>10</v>
      </c>
      <c r="M1" s="47"/>
      <c r="P1" s="48" t="s">
        <v>11</v>
      </c>
      <c r="Q1" s="48"/>
    </row>
    <row r="2" spans="1:17" x14ac:dyDescent="0.25">
      <c r="A2" s="12" t="s">
        <v>5</v>
      </c>
      <c r="B2" s="2">
        <v>5</v>
      </c>
      <c r="C2" s="5">
        <v>10</v>
      </c>
      <c r="D2" s="4">
        <v>3</v>
      </c>
      <c r="E2" s="3">
        <v>6</v>
      </c>
      <c r="F2" s="2">
        <v>1</v>
      </c>
      <c r="G2" s="5">
        <v>3</v>
      </c>
      <c r="H2" s="2">
        <v>0</v>
      </c>
      <c r="I2" s="3">
        <v>4</v>
      </c>
      <c r="J2" s="2">
        <v>0</v>
      </c>
      <c r="K2" s="5">
        <v>1</v>
      </c>
      <c r="L2" s="20">
        <f>SUM(B2,D2,F2,H2,J2)</f>
        <v>9</v>
      </c>
      <c r="M2" s="21">
        <f>SUM(C2,E2,G2,I2,K2)</f>
        <v>24</v>
      </c>
      <c r="P2" s="49" t="s">
        <v>12</v>
      </c>
      <c r="Q2" s="49"/>
    </row>
    <row r="3" spans="1:17" x14ac:dyDescent="0.25">
      <c r="A3" s="12" t="s">
        <v>6</v>
      </c>
      <c r="B3" s="6">
        <v>7</v>
      </c>
      <c r="C3" s="7">
        <v>6</v>
      </c>
      <c r="D3">
        <v>5</v>
      </c>
      <c r="E3" s="1">
        <v>7</v>
      </c>
      <c r="F3" s="6">
        <v>2</v>
      </c>
      <c r="G3" s="7">
        <v>3</v>
      </c>
      <c r="H3" s="6">
        <v>2</v>
      </c>
      <c r="I3" s="1">
        <v>4</v>
      </c>
      <c r="J3" s="6">
        <v>4</v>
      </c>
      <c r="K3" s="7">
        <v>5</v>
      </c>
      <c r="L3" s="20">
        <f t="shared" ref="L3:M6" si="0">SUM(B3,D3,F3,H3,J3)</f>
        <v>20</v>
      </c>
      <c r="M3" s="21">
        <f t="shared" si="0"/>
        <v>25</v>
      </c>
      <c r="P3">
        <v>2</v>
      </c>
      <c r="Q3" s="1">
        <v>2</v>
      </c>
    </row>
    <row r="4" spans="1:17" x14ac:dyDescent="0.25">
      <c r="A4" s="12" t="s">
        <v>7</v>
      </c>
      <c r="B4" s="6">
        <v>8</v>
      </c>
      <c r="C4" s="7">
        <v>8</v>
      </c>
      <c r="D4">
        <v>1</v>
      </c>
      <c r="E4" s="1">
        <v>1</v>
      </c>
      <c r="F4" s="6">
        <v>2</v>
      </c>
      <c r="G4" s="7">
        <v>1</v>
      </c>
      <c r="H4" s="6">
        <v>6</v>
      </c>
      <c r="I4" s="1">
        <v>0</v>
      </c>
      <c r="J4" s="6">
        <v>4</v>
      </c>
      <c r="K4" s="7">
        <v>14</v>
      </c>
      <c r="L4" s="20">
        <f t="shared" si="0"/>
        <v>21</v>
      </c>
      <c r="M4" s="21">
        <f t="shared" si="0"/>
        <v>24</v>
      </c>
    </row>
    <row r="5" spans="1:17" x14ac:dyDescent="0.25">
      <c r="A5" s="12" t="s">
        <v>8</v>
      </c>
      <c r="B5" s="6">
        <v>3</v>
      </c>
      <c r="C5" s="7">
        <v>1</v>
      </c>
      <c r="D5">
        <v>4</v>
      </c>
      <c r="E5" s="1">
        <v>5</v>
      </c>
      <c r="F5" s="6">
        <v>1</v>
      </c>
      <c r="G5" s="7">
        <v>1</v>
      </c>
      <c r="H5" s="6">
        <v>3</v>
      </c>
      <c r="I5" s="1">
        <v>1</v>
      </c>
      <c r="J5" s="6">
        <v>3</v>
      </c>
      <c r="K5" s="7">
        <v>1</v>
      </c>
      <c r="L5" s="20">
        <f t="shared" si="0"/>
        <v>14</v>
      </c>
      <c r="M5" s="21">
        <f t="shared" si="0"/>
        <v>9</v>
      </c>
    </row>
    <row r="6" spans="1:17" x14ac:dyDescent="0.25">
      <c r="A6" s="12" t="s">
        <v>9</v>
      </c>
      <c r="B6" s="8">
        <v>1</v>
      </c>
      <c r="C6" s="11">
        <v>3</v>
      </c>
      <c r="D6" s="10">
        <v>0</v>
      </c>
      <c r="E6" s="9">
        <v>5</v>
      </c>
      <c r="F6" s="8">
        <v>4</v>
      </c>
      <c r="G6" s="11">
        <v>1</v>
      </c>
      <c r="H6" s="8">
        <v>1</v>
      </c>
      <c r="I6" s="9">
        <v>3</v>
      </c>
      <c r="J6" s="8">
        <v>1</v>
      </c>
      <c r="K6" s="11">
        <v>2</v>
      </c>
      <c r="L6" s="22">
        <f t="shared" si="0"/>
        <v>7</v>
      </c>
      <c r="M6" s="23">
        <f t="shared" si="0"/>
        <v>14</v>
      </c>
    </row>
    <row r="7" spans="1:17" ht="21.75" thickBot="1" x14ac:dyDescent="0.4">
      <c r="A7" s="14" t="s">
        <v>10</v>
      </c>
      <c r="B7" s="15">
        <f>SUM(B2:B6)</f>
        <v>24</v>
      </c>
      <c r="C7" s="16">
        <f t="shared" ref="C7:K7" si="1">SUM(C2:C6)</f>
        <v>28</v>
      </c>
      <c r="D7" s="17">
        <f t="shared" si="1"/>
        <v>13</v>
      </c>
      <c r="E7" s="18">
        <f t="shared" si="1"/>
        <v>24</v>
      </c>
      <c r="F7" s="15">
        <f t="shared" si="1"/>
        <v>10</v>
      </c>
      <c r="G7" s="16">
        <f t="shared" si="1"/>
        <v>9</v>
      </c>
      <c r="H7" s="15">
        <f t="shared" si="1"/>
        <v>12</v>
      </c>
      <c r="I7" s="19">
        <f t="shared" si="1"/>
        <v>12</v>
      </c>
      <c r="J7" s="17">
        <f t="shared" si="1"/>
        <v>12</v>
      </c>
      <c r="K7" s="16">
        <f t="shared" si="1"/>
        <v>23</v>
      </c>
      <c r="L7" s="24">
        <f>SUM(L2:L6,P3)</f>
        <v>73</v>
      </c>
      <c r="M7" s="25">
        <f>SUM(M2:M6,Q3)</f>
        <v>98</v>
      </c>
    </row>
  </sheetData>
  <mergeCells count="8">
    <mergeCell ref="P1:Q1"/>
    <mergeCell ref="P2:Q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C9566-3332-4E93-B180-7D331FA52C7D}">
  <dimension ref="A1:Q7"/>
  <sheetViews>
    <sheetView workbookViewId="0">
      <selection activeCell="K5" sqref="K5"/>
    </sheetView>
  </sheetViews>
  <sheetFormatPr defaultRowHeight="15" x14ac:dyDescent="0.25"/>
  <cols>
    <col min="2" max="2" width="9.140625" customWidth="1"/>
  </cols>
  <sheetData>
    <row r="1" spans="1:17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0" t="s">
        <v>4</v>
      </c>
      <c r="K1" s="50"/>
      <c r="L1" s="56" t="s">
        <v>10</v>
      </c>
      <c r="M1" s="47"/>
      <c r="P1" s="48" t="s">
        <v>11</v>
      </c>
      <c r="Q1" s="48"/>
    </row>
    <row r="2" spans="1:17" x14ac:dyDescent="0.25">
      <c r="A2" s="12" t="s">
        <v>5</v>
      </c>
      <c r="B2" s="2">
        <v>5</v>
      </c>
      <c r="C2" s="5">
        <v>10</v>
      </c>
      <c r="D2" s="4">
        <v>3</v>
      </c>
      <c r="E2" s="3">
        <v>6</v>
      </c>
      <c r="F2" s="2">
        <v>1</v>
      </c>
      <c r="G2" s="5">
        <v>3</v>
      </c>
      <c r="H2" s="2">
        <v>0</v>
      </c>
      <c r="I2" s="3">
        <v>4</v>
      </c>
      <c r="J2" s="2">
        <v>0</v>
      </c>
      <c r="K2" s="5">
        <v>1</v>
      </c>
      <c r="L2" s="20">
        <f>SUM(B2,D2,F2,H2,J2)</f>
        <v>9</v>
      </c>
      <c r="M2" s="21">
        <f>SUM(C2,E2,G2,I2,K2)</f>
        <v>24</v>
      </c>
      <c r="P2" s="49" t="s">
        <v>12</v>
      </c>
      <c r="Q2" s="49"/>
    </row>
    <row r="3" spans="1:17" x14ac:dyDescent="0.25">
      <c r="A3" s="12" t="s">
        <v>6</v>
      </c>
      <c r="B3" s="6">
        <v>4</v>
      </c>
      <c r="C3" s="7">
        <v>4</v>
      </c>
      <c r="D3">
        <v>3</v>
      </c>
      <c r="E3" s="1">
        <v>5</v>
      </c>
      <c r="F3" s="6">
        <v>2</v>
      </c>
      <c r="G3" s="7">
        <v>3</v>
      </c>
      <c r="H3" s="6">
        <v>1</v>
      </c>
      <c r="I3" s="1">
        <v>2</v>
      </c>
      <c r="J3" s="6">
        <v>3</v>
      </c>
      <c r="K3" s="7">
        <v>3</v>
      </c>
      <c r="L3" s="20">
        <f t="shared" ref="L3:M6" si="0">SUM(B3,D3,F3,H3,J3)</f>
        <v>13</v>
      </c>
      <c r="M3" s="21">
        <f t="shared" si="0"/>
        <v>17</v>
      </c>
      <c r="P3">
        <v>2</v>
      </c>
      <c r="Q3" s="1">
        <v>2</v>
      </c>
    </row>
    <row r="4" spans="1:17" x14ac:dyDescent="0.25">
      <c r="A4" s="12" t="s">
        <v>7</v>
      </c>
      <c r="B4" s="6">
        <v>7</v>
      </c>
      <c r="C4" s="7">
        <v>4</v>
      </c>
      <c r="D4">
        <v>1</v>
      </c>
      <c r="E4" s="1">
        <v>0</v>
      </c>
      <c r="F4" s="6">
        <v>2</v>
      </c>
      <c r="G4" s="7">
        <v>1</v>
      </c>
      <c r="H4" s="6">
        <v>5</v>
      </c>
      <c r="I4" s="1">
        <v>0</v>
      </c>
      <c r="J4" s="6">
        <v>4</v>
      </c>
      <c r="K4" s="7">
        <v>11</v>
      </c>
      <c r="L4" s="20">
        <f t="shared" si="0"/>
        <v>19</v>
      </c>
      <c r="M4" s="21">
        <f t="shared" si="0"/>
        <v>16</v>
      </c>
    </row>
    <row r="5" spans="1:17" x14ac:dyDescent="0.25">
      <c r="A5" s="12" t="s">
        <v>8</v>
      </c>
      <c r="B5" s="6">
        <v>3</v>
      </c>
      <c r="C5" s="7">
        <v>1</v>
      </c>
      <c r="D5">
        <v>3</v>
      </c>
      <c r="E5" s="1">
        <v>2</v>
      </c>
      <c r="F5" s="6">
        <v>1</v>
      </c>
      <c r="G5" s="7">
        <v>1</v>
      </c>
      <c r="H5" s="6">
        <v>3</v>
      </c>
      <c r="I5" s="1">
        <v>1</v>
      </c>
      <c r="J5" s="6">
        <v>3</v>
      </c>
      <c r="K5" s="7">
        <v>1</v>
      </c>
      <c r="L5" s="20">
        <f t="shared" si="0"/>
        <v>13</v>
      </c>
      <c r="M5" s="21">
        <f t="shared" si="0"/>
        <v>6</v>
      </c>
    </row>
    <row r="6" spans="1:17" x14ac:dyDescent="0.25">
      <c r="A6" s="12" t="s">
        <v>9</v>
      </c>
      <c r="B6" s="8">
        <v>1</v>
      </c>
      <c r="C6" s="11">
        <v>1</v>
      </c>
      <c r="D6" s="10">
        <v>0</v>
      </c>
      <c r="E6" s="9">
        <v>3</v>
      </c>
      <c r="F6" s="8">
        <v>3</v>
      </c>
      <c r="G6" s="11">
        <v>0</v>
      </c>
      <c r="H6" s="8">
        <v>1</v>
      </c>
      <c r="I6" s="9">
        <v>3</v>
      </c>
      <c r="J6" s="8">
        <v>1</v>
      </c>
      <c r="K6" s="11">
        <v>2</v>
      </c>
      <c r="L6" s="22">
        <f t="shared" si="0"/>
        <v>6</v>
      </c>
      <c r="M6" s="23">
        <f t="shared" si="0"/>
        <v>9</v>
      </c>
    </row>
    <row r="7" spans="1:17" ht="21.75" thickBot="1" x14ac:dyDescent="0.4">
      <c r="A7" s="14" t="s">
        <v>10</v>
      </c>
      <c r="B7" s="15">
        <f>SUM(B2:B6)</f>
        <v>20</v>
      </c>
      <c r="C7" s="16">
        <f t="shared" ref="C7:K7" si="1">SUM(C2:C6)</f>
        <v>20</v>
      </c>
      <c r="D7" s="17">
        <f t="shared" si="1"/>
        <v>10</v>
      </c>
      <c r="E7" s="18">
        <f t="shared" si="1"/>
        <v>16</v>
      </c>
      <c r="F7" s="15">
        <f t="shared" si="1"/>
        <v>9</v>
      </c>
      <c r="G7" s="16">
        <f t="shared" si="1"/>
        <v>8</v>
      </c>
      <c r="H7" s="15">
        <f t="shared" si="1"/>
        <v>10</v>
      </c>
      <c r="I7" s="19">
        <f t="shared" si="1"/>
        <v>10</v>
      </c>
      <c r="J7" s="17">
        <f t="shared" si="1"/>
        <v>11</v>
      </c>
      <c r="K7" s="16">
        <f t="shared" si="1"/>
        <v>18</v>
      </c>
      <c r="L7" s="24">
        <f>SUM(L2:L6,P3)</f>
        <v>62</v>
      </c>
      <c r="M7" s="25">
        <f>SUM(M2:M6,Q3)</f>
        <v>74</v>
      </c>
    </row>
  </sheetData>
  <mergeCells count="8">
    <mergeCell ref="P1:Q1"/>
    <mergeCell ref="P2:Q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3F7F-1E7F-488E-BF34-FB937D5FAA4E}">
  <dimension ref="A1:Q7"/>
  <sheetViews>
    <sheetView workbookViewId="0">
      <selection activeCell="B32" sqref="B32"/>
    </sheetView>
  </sheetViews>
  <sheetFormatPr defaultRowHeight="15" x14ac:dyDescent="0.25"/>
  <cols>
    <col min="2" max="2" width="9.140625" customWidth="1"/>
  </cols>
  <sheetData>
    <row r="1" spans="1:17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0" t="s">
        <v>4</v>
      </c>
      <c r="K1" s="50"/>
      <c r="L1" s="56" t="s">
        <v>10</v>
      </c>
      <c r="M1" s="47"/>
      <c r="P1" s="48" t="s">
        <v>11</v>
      </c>
      <c r="Q1" s="48"/>
    </row>
    <row r="2" spans="1:17" x14ac:dyDescent="0.25">
      <c r="A2" s="12" t="s">
        <v>5</v>
      </c>
      <c r="B2" s="2">
        <v>5</v>
      </c>
      <c r="C2" s="5">
        <v>9</v>
      </c>
      <c r="D2" s="4">
        <v>3</v>
      </c>
      <c r="E2" s="3">
        <v>6</v>
      </c>
      <c r="F2" s="2">
        <v>1</v>
      </c>
      <c r="G2" s="5">
        <v>3</v>
      </c>
      <c r="H2" s="2">
        <v>0</v>
      </c>
      <c r="I2" s="3">
        <v>4</v>
      </c>
      <c r="J2" s="2">
        <v>0</v>
      </c>
      <c r="K2" s="5">
        <v>1</v>
      </c>
      <c r="L2" s="20">
        <f>SUM(B2,D2,F2,H2,J2)</f>
        <v>9</v>
      </c>
      <c r="M2" s="21">
        <f>SUM(C2,E2,G2,I2,K2)</f>
        <v>23</v>
      </c>
      <c r="P2" s="49" t="s">
        <v>12</v>
      </c>
      <c r="Q2" s="49"/>
    </row>
    <row r="3" spans="1:17" x14ac:dyDescent="0.25">
      <c r="A3" s="12" t="s">
        <v>6</v>
      </c>
      <c r="B3" s="6">
        <v>4</v>
      </c>
      <c r="C3" s="7">
        <v>4</v>
      </c>
      <c r="D3">
        <v>3</v>
      </c>
      <c r="E3" s="1">
        <v>5</v>
      </c>
      <c r="F3" s="6">
        <v>2</v>
      </c>
      <c r="G3" s="7">
        <v>3</v>
      </c>
      <c r="H3" s="6">
        <v>1</v>
      </c>
      <c r="I3" s="1">
        <v>2</v>
      </c>
      <c r="J3" s="6">
        <v>3</v>
      </c>
      <c r="K3" s="7">
        <v>3</v>
      </c>
      <c r="L3" s="20">
        <f t="shared" ref="L3:M6" si="0">SUM(B3,D3,F3,H3,J3)</f>
        <v>13</v>
      </c>
      <c r="M3" s="21">
        <f t="shared" si="0"/>
        <v>17</v>
      </c>
      <c r="P3">
        <v>2</v>
      </c>
      <c r="Q3" s="1">
        <v>2</v>
      </c>
    </row>
    <row r="4" spans="1:17" x14ac:dyDescent="0.25">
      <c r="A4" s="12" t="s">
        <v>7</v>
      </c>
      <c r="B4" s="6">
        <v>7</v>
      </c>
      <c r="C4" s="7">
        <v>4</v>
      </c>
      <c r="D4">
        <v>1</v>
      </c>
      <c r="E4" s="1">
        <v>0</v>
      </c>
      <c r="F4" s="6">
        <v>2</v>
      </c>
      <c r="G4" s="7">
        <v>1</v>
      </c>
      <c r="H4" s="6">
        <v>5</v>
      </c>
      <c r="I4" s="1">
        <v>0</v>
      </c>
      <c r="J4" s="6">
        <v>4</v>
      </c>
      <c r="K4" s="7">
        <v>10</v>
      </c>
      <c r="L4" s="20">
        <f t="shared" si="0"/>
        <v>19</v>
      </c>
      <c r="M4" s="21">
        <f t="shared" si="0"/>
        <v>15</v>
      </c>
    </row>
    <row r="5" spans="1:17" x14ac:dyDescent="0.25">
      <c r="A5" s="12" t="s">
        <v>8</v>
      </c>
      <c r="B5" s="6">
        <v>3</v>
      </c>
      <c r="C5" s="7">
        <v>1</v>
      </c>
      <c r="D5">
        <v>3</v>
      </c>
      <c r="E5" s="1">
        <v>2</v>
      </c>
      <c r="F5" s="6">
        <v>1</v>
      </c>
      <c r="G5" s="7">
        <v>1</v>
      </c>
      <c r="H5" s="6">
        <v>3</v>
      </c>
      <c r="I5" s="1">
        <v>1</v>
      </c>
      <c r="J5" s="6">
        <v>3</v>
      </c>
      <c r="K5" s="7">
        <v>1</v>
      </c>
      <c r="L5" s="20">
        <f t="shared" si="0"/>
        <v>13</v>
      </c>
      <c r="M5" s="21">
        <f t="shared" si="0"/>
        <v>6</v>
      </c>
    </row>
    <row r="6" spans="1:17" x14ac:dyDescent="0.25">
      <c r="A6" s="12" t="s">
        <v>9</v>
      </c>
      <c r="B6" s="8">
        <v>1</v>
      </c>
      <c r="C6" s="11">
        <v>1</v>
      </c>
      <c r="D6" s="10">
        <v>0</v>
      </c>
      <c r="E6" s="9">
        <v>2</v>
      </c>
      <c r="F6" s="8">
        <v>2</v>
      </c>
      <c r="G6" s="11">
        <v>0</v>
      </c>
      <c r="H6" s="8">
        <v>1</v>
      </c>
      <c r="I6" s="9">
        <v>2</v>
      </c>
      <c r="J6" s="8">
        <v>0</v>
      </c>
      <c r="K6" s="11">
        <v>1</v>
      </c>
      <c r="L6" s="22">
        <f t="shared" si="0"/>
        <v>4</v>
      </c>
      <c r="M6" s="23">
        <f t="shared" si="0"/>
        <v>6</v>
      </c>
    </row>
    <row r="7" spans="1:17" ht="21.75" thickBot="1" x14ac:dyDescent="0.4">
      <c r="A7" s="14" t="s">
        <v>10</v>
      </c>
      <c r="B7" s="15">
        <f>SUM(B2:B6)</f>
        <v>20</v>
      </c>
      <c r="C7" s="16">
        <f t="shared" ref="C7:K7" si="1">SUM(C2:C6)</f>
        <v>19</v>
      </c>
      <c r="D7" s="17">
        <f t="shared" si="1"/>
        <v>10</v>
      </c>
      <c r="E7" s="18">
        <f t="shared" si="1"/>
        <v>15</v>
      </c>
      <c r="F7" s="15">
        <f t="shared" si="1"/>
        <v>8</v>
      </c>
      <c r="G7" s="16">
        <f t="shared" si="1"/>
        <v>8</v>
      </c>
      <c r="H7" s="15">
        <f t="shared" si="1"/>
        <v>10</v>
      </c>
      <c r="I7" s="19">
        <f t="shared" si="1"/>
        <v>9</v>
      </c>
      <c r="J7" s="17">
        <f t="shared" si="1"/>
        <v>10</v>
      </c>
      <c r="K7" s="16">
        <f t="shared" si="1"/>
        <v>16</v>
      </c>
      <c r="L7" s="24">
        <f>SUM(L2:L6,P3)</f>
        <v>60</v>
      </c>
      <c r="M7" s="25">
        <f>SUM(M2:M6,Q3)</f>
        <v>69</v>
      </c>
    </row>
  </sheetData>
  <mergeCells count="8">
    <mergeCell ref="P1:Q1"/>
    <mergeCell ref="P2:Q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93E2-1EF5-47A9-A0D4-9BE87C270A01}">
  <dimension ref="A1:Q7"/>
  <sheetViews>
    <sheetView workbookViewId="0">
      <selection activeCell="I4" sqref="I4"/>
    </sheetView>
  </sheetViews>
  <sheetFormatPr defaultRowHeight="15" x14ac:dyDescent="0.25"/>
  <cols>
    <col min="2" max="2" width="9.140625" customWidth="1"/>
  </cols>
  <sheetData>
    <row r="1" spans="1:17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0" t="s">
        <v>4</v>
      </c>
      <c r="K1" s="50"/>
      <c r="L1" s="56" t="s">
        <v>10</v>
      </c>
      <c r="M1" s="47"/>
      <c r="P1" s="48" t="s">
        <v>11</v>
      </c>
      <c r="Q1" s="48"/>
    </row>
    <row r="2" spans="1:17" x14ac:dyDescent="0.25">
      <c r="A2" s="12" t="s">
        <v>5</v>
      </c>
      <c r="B2" s="2">
        <v>5</v>
      </c>
      <c r="C2" s="5">
        <v>9</v>
      </c>
      <c r="D2" s="4">
        <v>1</v>
      </c>
      <c r="E2" s="3">
        <v>5</v>
      </c>
      <c r="F2" s="2">
        <v>1</v>
      </c>
      <c r="G2" s="5">
        <v>3</v>
      </c>
      <c r="H2" s="2">
        <v>0</v>
      </c>
      <c r="I2" s="3">
        <v>4</v>
      </c>
      <c r="J2" s="2">
        <v>0</v>
      </c>
      <c r="K2" s="5">
        <v>1</v>
      </c>
      <c r="L2" s="20">
        <f>SUM(B2,D2,F2,H2,J2)</f>
        <v>7</v>
      </c>
      <c r="M2" s="21">
        <f>SUM(C2,E2,G2,I2,K2)</f>
        <v>22</v>
      </c>
      <c r="P2" s="49" t="s">
        <v>12</v>
      </c>
      <c r="Q2" s="49"/>
    </row>
    <row r="3" spans="1:17" x14ac:dyDescent="0.25">
      <c r="A3" s="12" t="s">
        <v>6</v>
      </c>
      <c r="B3" s="6">
        <v>3</v>
      </c>
      <c r="C3" s="7">
        <v>2</v>
      </c>
      <c r="D3">
        <v>3</v>
      </c>
      <c r="E3" s="1">
        <v>4</v>
      </c>
      <c r="F3" s="6">
        <v>2</v>
      </c>
      <c r="G3" s="7">
        <v>1</v>
      </c>
      <c r="H3" s="6">
        <v>1</v>
      </c>
      <c r="I3" s="1">
        <v>2</v>
      </c>
      <c r="J3" s="6">
        <v>3</v>
      </c>
      <c r="K3" s="7">
        <v>2</v>
      </c>
      <c r="L3" s="20">
        <f t="shared" ref="L3:L6" si="0">SUM(B3,D3,F3,H3,J3)</f>
        <v>12</v>
      </c>
      <c r="M3" s="21">
        <f t="shared" ref="M3:M6" si="1">SUM(C3,E3,G3,I3,K3)</f>
        <v>11</v>
      </c>
      <c r="P3">
        <v>2</v>
      </c>
      <c r="Q3" s="1">
        <v>2</v>
      </c>
    </row>
    <row r="4" spans="1:17" x14ac:dyDescent="0.25">
      <c r="A4" s="12" t="s">
        <v>7</v>
      </c>
      <c r="B4" s="6">
        <v>7</v>
      </c>
      <c r="C4" s="7">
        <v>4</v>
      </c>
      <c r="D4">
        <v>1</v>
      </c>
      <c r="E4" s="1">
        <v>0</v>
      </c>
      <c r="F4" s="6">
        <v>2</v>
      </c>
      <c r="G4" s="7">
        <v>1</v>
      </c>
      <c r="H4" s="6">
        <v>3</v>
      </c>
      <c r="I4" s="1">
        <v>0</v>
      </c>
      <c r="J4" s="6">
        <v>3</v>
      </c>
      <c r="K4" s="7">
        <v>6</v>
      </c>
      <c r="L4" s="20">
        <f t="shared" si="0"/>
        <v>16</v>
      </c>
      <c r="M4" s="21">
        <f t="shared" si="1"/>
        <v>11</v>
      </c>
    </row>
    <row r="5" spans="1:17" x14ac:dyDescent="0.25">
      <c r="A5" s="12" t="s">
        <v>8</v>
      </c>
      <c r="B5" s="6">
        <v>3</v>
      </c>
      <c r="C5" s="7">
        <v>1</v>
      </c>
      <c r="D5">
        <v>3</v>
      </c>
      <c r="E5" s="1">
        <v>2</v>
      </c>
      <c r="F5" s="6">
        <v>1</v>
      </c>
      <c r="G5" s="7">
        <v>1</v>
      </c>
      <c r="H5" s="6">
        <v>3</v>
      </c>
      <c r="I5" s="1">
        <v>1</v>
      </c>
      <c r="J5" s="6">
        <v>2</v>
      </c>
      <c r="K5" s="7">
        <v>1</v>
      </c>
      <c r="L5" s="20">
        <f t="shared" si="0"/>
        <v>12</v>
      </c>
      <c r="M5" s="21">
        <f t="shared" si="1"/>
        <v>6</v>
      </c>
    </row>
    <row r="6" spans="1:17" x14ac:dyDescent="0.25">
      <c r="A6" s="12" t="s">
        <v>9</v>
      </c>
      <c r="B6" s="8">
        <v>1</v>
      </c>
      <c r="C6" s="11">
        <v>1</v>
      </c>
      <c r="D6" s="10">
        <v>0</v>
      </c>
      <c r="E6" s="9">
        <v>2</v>
      </c>
      <c r="F6" s="8">
        <v>2</v>
      </c>
      <c r="G6" s="11">
        <v>0</v>
      </c>
      <c r="H6" s="8">
        <v>1</v>
      </c>
      <c r="I6" s="9">
        <v>2</v>
      </c>
      <c r="J6" s="8">
        <v>0</v>
      </c>
      <c r="K6" s="11">
        <v>1</v>
      </c>
      <c r="L6" s="22">
        <f t="shared" si="0"/>
        <v>4</v>
      </c>
      <c r="M6" s="23">
        <f t="shared" si="1"/>
        <v>6</v>
      </c>
    </row>
    <row r="7" spans="1:17" ht="21.75" thickBot="1" x14ac:dyDescent="0.4">
      <c r="A7" s="14" t="s">
        <v>10</v>
      </c>
      <c r="B7" s="15">
        <f>SUM(B2:B6)</f>
        <v>19</v>
      </c>
      <c r="C7" s="16">
        <f t="shared" ref="C7:K7" si="2">SUM(C2:C6)</f>
        <v>17</v>
      </c>
      <c r="D7" s="17">
        <f t="shared" si="2"/>
        <v>8</v>
      </c>
      <c r="E7" s="18">
        <f t="shared" si="2"/>
        <v>13</v>
      </c>
      <c r="F7" s="15">
        <f t="shared" si="2"/>
        <v>8</v>
      </c>
      <c r="G7" s="16">
        <f t="shared" si="2"/>
        <v>6</v>
      </c>
      <c r="H7" s="15">
        <f t="shared" si="2"/>
        <v>8</v>
      </c>
      <c r="I7" s="19">
        <f t="shared" si="2"/>
        <v>9</v>
      </c>
      <c r="J7" s="17">
        <f t="shared" si="2"/>
        <v>8</v>
      </c>
      <c r="K7" s="16">
        <f t="shared" si="2"/>
        <v>11</v>
      </c>
      <c r="L7" s="24">
        <f>SUM(L2:L6,P3)</f>
        <v>53</v>
      </c>
      <c r="M7" s="25">
        <f>SUM(M2:M6,Q3)</f>
        <v>58</v>
      </c>
    </row>
  </sheetData>
  <mergeCells count="8">
    <mergeCell ref="P1:Q1"/>
    <mergeCell ref="P2:Q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61EB-0289-406B-8018-E61CFB3B98D3}">
  <dimension ref="A1:Q7"/>
  <sheetViews>
    <sheetView workbookViewId="0">
      <selection activeCell="I33" sqref="I33"/>
    </sheetView>
  </sheetViews>
  <sheetFormatPr defaultRowHeight="15" x14ac:dyDescent="0.25"/>
  <cols>
    <col min="2" max="2" width="9.140625" customWidth="1"/>
  </cols>
  <sheetData>
    <row r="1" spans="1:17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0" t="s">
        <v>4</v>
      </c>
      <c r="K1" s="50"/>
      <c r="L1" s="56" t="s">
        <v>10</v>
      </c>
      <c r="M1" s="47"/>
      <c r="P1" s="48" t="s">
        <v>11</v>
      </c>
      <c r="Q1" s="48"/>
    </row>
    <row r="2" spans="1:17" x14ac:dyDescent="0.25">
      <c r="A2" s="12" t="s">
        <v>5</v>
      </c>
      <c r="B2" s="2">
        <v>5</v>
      </c>
      <c r="C2" s="5">
        <v>8</v>
      </c>
      <c r="D2" s="4">
        <v>0</v>
      </c>
      <c r="E2" s="3">
        <v>3</v>
      </c>
      <c r="F2" s="2">
        <v>0</v>
      </c>
      <c r="G2" s="5">
        <v>2</v>
      </c>
      <c r="H2" s="2">
        <v>0</v>
      </c>
      <c r="I2" s="3">
        <v>4</v>
      </c>
      <c r="J2" s="2">
        <v>0</v>
      </c>
      <c r="K2" s="5">
        <v>1</v>
      </c>
      <c r="L2" s="20">
        <f>SUM(B2,D2,F2,H2,J2)</f>
        <v>5</v>
      </c>
      <c r="M2" s="21">
        <f>SUM(C2,E2,G2,I2,K2)</f>
        <v>18</v>
      </c>
      <c r="P2" s="49" t="s">
        <v>12</v>
      </c>
      <c r="Q2" s="49"/>
    </row>
    <row r="3" spans="1:17" x14ac:dyDescent="0.25">
      <c r="A3" s="12" t="s">
        <v>6</v>
      </c>
      <c r="B3" s="6">
        <v>3</v>
      </c>
      <c r="C3" s="7">
        <v>2</v>
      </c>
      <c r="D3">
        <v>3</v>
      </c>
      <c r="E3" s="1">
        <v>4</v>
      </c>
      <c r="F3" s="6">
        <v>2</v>
      </c>
      <c r="G3" s="7">
        <v>1</v>
      </c>
      <c r="H3" s="6">
        <v>1</v>
      </c>
      <c r="I3" s="1">
        <v>0</v>
      </c>
      <c r="J3" s="6">
        <v>2</v>
      </c>
      <c r="K3" s="7">
        <v>0</v>
      </c>
      <c r="L3" s="20">
        <f t="shared" ref="L3:M6" si="0">SUM(B3,D3,F3,H3,J3)</f>
        <v>11</v>
      </c>
      <c r="M3" s="21">
        <f t="shared" si="0"/>
        <v>7</v>
      </c>
      <c r="P3">
        <v>2</v>
      </c>
      <c r="Q3" s="1">
        <v>2</v>
      </c>
    </row>
    <row r="4" spans="1:17" x14ac:dyDescent="0.25">
      <c r="A4" s="12" t="s">
        <v>7</v>
      </c>
      <c r="B4" s="6">
        <v>7</v>
      </c>
      <c r="C4" s="7">
        <v>4</v>
      </c>
      <c r="D4">
        <v>1</v>
      </c>
      <c r="E4" s="1">
        <v>0</v>
      </c>
      <c r="F4" s="6">
        <v>2</v>
      </c>
      <c r="G4" s="7">
        <v>1</v>
      </c>
      <c r="H4" s="6">
        <v>3</v>
      </c>
      <c r="I4" s="1">
        <v>0</v>
      </c>
      <c r="J4" s="6">
        <v>3</v>
      </c>
      <c r="K4" s="7">
        <v>6</v>
      </c>
      <c r="L4" s="20">
        <f t="shared" si="0"/>
        <v>16</v>
      </c>
      <c r="M4" s="21">
        <f t="shared" si="0"/>
        <v>11</v>
      </c>
    </row>
    <row r="5" spans="1:17" x14ac:dyDescent="0.25">
      <c r="A5" s="12" t="s">
        <v>8</v>
      </c>
      <c r="B5" s="6">
        <v>3</v>
      </c>
      <c r="C5" s="7">
        <v>1</v>
      </c>
      <c r="D5">
        <v>3</v>
      </c>
      <c r="E5" s="1">
        <v>2</v>
      </c>
      <c r="F5" s="6">
        <v>1</v>
      </c>
      <c r="G5" s="7">
        <v>1</v>
      </c>
      <c r="H5" s="6">
        <v>3</v>
      </c>
      <c r="I5" s="1">
        <v>1</v>
      </c>
      <c r="J5" s="6">
        <v>2</v>
      </c>
      <c r="K5" s="7">
        <v>1</v>
      </c>
      <c r="L5" s="20">
        <f t="shared" si="0"/>
        <v>12</v>
      </c>
      <c r="M5" s="21">
        <f t="shared" si="0"/>
        <v>6</v>
      </c>
    </row>
    <row r="6" spans="1:17" x14ac:dyDescent="0.25">
      <c r="A6" s="12" t="s">
        <v>9</v>
      </c>
      <c r="B6" s="8">
        <v>1</v>
      </c>
      <c r="C6" s="11">
        <v>1</v>
      </c>
      <c r="D6" s="10">
        <v>0</v>
      </c>
      <c r="E6" s="9">
        <v>2</v>
      </c>
      <c r="F6" s="8">
        <v>2</v>
      </c>
      <c r="G6" s="11">
        <v>0</v>
      </c>
      <c r="H6" s="8">
        <v>1</v>
      </c>
      <c r="I6" s="9">
        <v>2</v>
      </c>
      <c r="J6" s="8">
        <v>0</v>
      </c>
      <c r="K6" s="11">
        <v>1</v>
      </c>
      <c r="L6" s="22">
        <f t="shared" si="0"/>
        <v>4</v>
      </c>
      <c r="M6" s="23">
        <f t="shared" si="0"/>
        <v>6</v>
      </c>
    </row>
    <row r="7" spans="1:17" ht="21.75" thickBot="1" x14ac:dyDescent="0.4">
      <c r="A7" s="14" t="s">
        <v>10</v>
      </c>
      <c r="B7" s="15">
        <f>SUM(B2:B6)</f>
        <v>19</v>
      </c>
      <c r="C7" s="16">
        <f t="shared" ref="C7:K7" si="1">SUM(C2:C6)</f>
        <v>16</v>
      </c>
      <c r="D7" s="17">
        <f t="shared" si="1"/>
        <v>7</v>
      </c>
      <c r="E7" s="18">
        <f t="shared" si="1"/>
        <v>11</v>
      </c>
      <c r="F7" s="15">
        <f t="shared" si="1"/>
        <v>7</v>
      </c>
      <c r="G7" s="16">
        <f t="shared" si="1"/>
        <v>5</v>
      </c>
      <c r="H7" s="15">
        <f t="shared" si="1"/>
        <v>8</v>
      </c>
      <c r="I7" s="19">
        <f t="shared" si="1"/>
        <v>7</v>
      </c>
      <c r="J7" s="17">
        <f t="shared" si="1"/>
        <v>7</v>
      </c>
      <c r="K7" s="16">
        <f t="shared" si="1"/>
        <v>9</v>
      </c>
      <c r="L7" s="24">
        <f>SUM(L2:L6,P3)</f>
        <v>50</v>
      </c>
      <c r="M7" s="25">
        <f>SUM(M2:M6,Q3)</f>
        <v>50</v>
      </c>
    </row>
  </sheetData>
  <mergeCells count="8">
    <mergeCell ref="P1:Q1"/>
    <mergeCell ref="P2:Q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8B473-09A0-4BA3-A3F5-D17059821E7A}">
  <dimension ref="A1:M7"/>
  <sheetViews>
    <sheetView workbookViewId="0">
      <selection activeCell="M19" sqref="M19"/>
    </sheetView>
  </sheetViews>
  <sheetFormatPr defaultRowHeight="15" x14ac:dyDescent="0.25"/>
  <sheetData>
    <row r="1" spans="1:13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0" t="s">
        <v>4</v>
      </c>
      <c r="K1" s="50"/>
      <c r="L1" s="56" t="s">
        <v>10</v>
      </c>
      <c r="M1" s="47"/>
    </row>
    <row r="2" spans="1:13" x14ac:dyDescent="0.25">
      <c r="A2" s="12" t="s">
        <v>5</v>
      </c>
      <c r="B2" s="2"/>
      <c r="C2" s="5"/>
      <c r="D2" s="4"/>
      <c r="E2" s="3"/>
      <c r="F2" s="2"/>
      <c r="G2" s="5"/>
      <c r="H2" s="2"/>
      <c r="I2" s="3"/>
      <c r="J2" s="2"/>
      <c r="K2" s="5"/>
      <c r="L2" s="20"/>
      <c r="M2" s="21"/>
    </row>
    <row r="3" spans="1:13" x14ac:dyDescent="0.25">
      <c r="A3" s="12" t="s">
        <v>6</v>
      </c>
      <c r="B3" s="6"/>
      <c r="C3" s="7"/>
      <c r="E3" s="1"/>
      <c r="F3" s="6"/>
      <c r="G3" s="7"/>
      <c r="H3" s="6"/>
      <c r="I3" s="1"/>
      <c r="J3" s="6"/>
      <c r="K3" s="7"/>
      <c r="L3" s="20"/>
      <c r="M3" s="21"/>
    </row>
    <row r="4" spans="1:13" x14ac:dyDescent="0.25">
      <c r="A4" s="12" t="s">
        <v>7</v>
      </c>
      <c r="B4" s="6"/>
      <c r="C4" s="7"/>
      <c r="E4" s="1"/>
      <c r="F4" s="6"/>
      <c r="G4" s="7"/>
      <c r="H4" s="6"/>
      <c r="I4" s="1"/>
      <c r="J4" s="6"/>
      <c r="K4" s="7"/>
      <c r="L4" s="20"/>
      <c r="M4" s="21"/>
    </row>
    <row r="5" spans="1:13" x14ac:dyDescent="0.25">
      <c r="A5" s="12" t="s">
        <v>8</v>
      </c>
      <c r="B5" s="6"/>
      <c r="C5" s="7"/>
      <c r="E5" s="1"/>
      <c r="F5" s="6"/>
      <c r="G5" s="7"/>
      <c r="H5" s="6"/>
      <c r="I5" s="1"/>
      <c r="J5" s="6"/>
      <c r="K5" s="7"/>
      <c r="L5" s="20"/>
      <c r="M5" s="21"/>
    </row>
    <row r="6" spans="1:13" x14ac:dyDescent="0.25">
      <c r="A6" s="12" t="s">
        <v>9</v>
      </c>
      <c r="B6" s="8"/>
      <c r="C6" s="11"/>
      <c r="D6" s="10"/>
      <c r="E6" s="9"/>
      <c r="F6" s="8"/>
      <c r="G6" s="11"/>
      <c r="H6" s="8"/>
      <c r="I6" s="9"/>
      <c r="J6" s="8"/>
      <c r="K6" s="11"/>
      <c r="L6" s="22"/>
      <c r="M6" s="23"/>
    </row>
    <row r="7" spans="1:13" ht="21.75" thickBot="1" x14ac:dyDescent="0.4">
      <c r="A7" s="14" t="s">
        <v>10</v>
      </c>
      <c r="B7" s="15"/>
      <c r="C7" s="16"/>
      <c r="D7" s="17"/>
      <c r="E7" s="18"/>
      <c r="F7" s="15"/>
      <c r="G7" s="16"/>
      <c r="H7" s="15"/>
      <c r="I7" s="19"/>
      <c r="J7" s="17"/>
      <c r="K7" s="16"/>
      <c r="L7" s="24">
        <v>29</v>
      </c>
      <c r="M7" s="25">
        <v>21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7EBD-03BD-40DE-8C93-480904445FD8}">
  <dimension ref="A1:M7"/>
  <sheetViews>
    <sheetView workbookViewId="0">
      <selection activeCell="N13" sqref="N13"/>
    </sheetView>
  </sheetViews>
  <sheetFormatPr defaultRowHeight="15" x14ac:dyDescent="0.25"/>
  <sheetData>
    <row r="1" spans="1:13" ht="30" x14ac:dyDescent="0.25">
      <c r="A1" s="13" t="s">
        <v>13</v>
      </c>
      <c r="B1" s="50" t="s">
        <v>0</v>
      </c>
      <c r="C1" s="50"/>
      <c r="D1" s="51" t="s">
        <v>1</v>
      </c>
      <c r="E1" s="52"/>
      <c r="F1" s="50" t="s">
        <v>2</v>
      </c>
      <c r="G1" s="50"/>
      <c r="H1" s="50" t="s">
        <v>3</v>
      </c>
      <c r="I1" s="52"/>
      <c r="J1" s="50" t="s">
        <v>4</v>
      </c>
      <c r="K1" s="50"/>
      <c r="L1" s="56" t="s">
        <v>10</v>
      </c>
      <c r="M1" s="47"/>
    </row>
    <row r="2" spans="1:13" x14ac:dyDescent="0.25">
      <c r="A2" s="12" t="s">
        <v>5</v>
      </c>
      <c r="B2" s="2"/>
      <c r="C2" s="5"/>
      <c r="D2" s="4"/>
      <c r="E2" s="3"/>
      <c r="F2" s="2"/>
      <c r="G2" s="5"/>
      <c r="H2" s="2"/>
      <c r="I2" s="3"/>
      <c r="J2" s="2"/>
      <c r="K2" s="5"/>
      <c r="L2" s="20"/>
      <c r="M2" s="21"/>
    </row>
    <row r="3" spans="1:13" x14ac:dyDescent="0.25">
      <c r="A3" s="12" t="s">
        <v>6</v>
      </c>
      <c r="B3" s="6"/>
      <c r="C3" s="7"/>
      <c r="E3" s="1"/>
      <c r="F3" s="6"/>
      <c r="G3" s="7"/>
      <c r="H3" s="6"/>
      <c r="I3" s="1"/>
      <c r="J3" s="6"/>
      <c r="K3" s="7"/>
      <c r="L3" s="20"/>
      <c r="M3" s="21"/>
    </row>
    <row r="4" spans="1:13" x14ac:dyDescent="0.25">
      <c r="A4" s="12" t="s">
        <v>7</v>
      </c>
      <c r="B4" s="6"/>
      <c r="C4" s="7"/>
      <c r="E4" s="1"/>
      <c r="F4" s="6"/>
      <c r="G4" s="7"/>
      <c r="H4" s="6"/>
      <c r="I4" s="1"/>
      <c r="J4" s="6"/>
      <c r="K4" s="7"/>
      <c r="L4" s="20"/>
      <c r="M4" s="21"/>
    </row>
    <row r="5" spans="1:13" x14ac:dyDescent="0.25">
      <c r="A5" s="12" t="s">
        <v>8</v>
      </c>
      <c r="B5" s="6"/>
      <c r="C5" s="7"/>
      <c r="E5" s="1"/>
      <c r="F5" s="6"/>
      <c r="G5" s="7"/>
      <c r="H5" s="6"/>
      <c r="I5" s="1"/>
      <c r="J5" s="6"/>
      <c r="K5" s="7"/>
      <c r="L5" s="20"/>
      <c r="M5" s="21"/>
    </row>
    <row r="6" spans="1:13" x14ac:dyDescent="0.25">
      <c r="A6" s="12" t="s">
        <v>9</v>
      </c>
      <c r="B6" s="8"/>
      <c r="C6" s="11"/>
      <c r="D6" s="10"/>
      <c r="E6" s="9"/>
      <c r="F6" s="8"/>
      <c r="G6" s="11"/>
      <c r="H6" s="8"/>
      <c r="I6" s="9"/>
      <c r="J6" s="8"/>
      <c r="K6" s="11"/>
      <c r="L6" s="22"/>
      <c r="M6" s="23"/>
    </row>
    <row r="7" spans="1:13" ht="21.75" thickBot="1" x14ac:dyDescent="0.4">
      <c r="A7" s="14" t="s">
        <v>10</v>
      </c>
      <c r="B7" s="15"/>
      <c r="C7" s="16"/>
      <c r="D7" s="17"/>
      <c r="E7" s="18"/>
      <c r="F7" s="15"/>
      <c r="G7" s="16"/>
      <c r="H7" s="15"/>
      <c r="I7" s="19"/>
      <c r="J7" s="17"/>
      <c r="K7" s="16"/>
      <c r="L7" s="24">
        <v>6</v>
      </c>
      <c r="M7" s="25">
        <v>6</v>
      </c>
    </row>
  </sheetData>
  <mergeCells count="6"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1-16 (2)</vt:lpstr>
      <vt:lpstr>1-16</vt:lpstr>
      <vt:lpstr>1-12</vt:lpstr>
      <vt:lpstr>1-8</vt:lpstr>
      <vt:lpstr>1-4</vt:lpstr>
      <vt:lpstr>12-19</vt:lpstr>
      <vt:lpstr>12-18</vt:lpstr>
      <vt:lpstr>12-14</vt:lpstr>
      <vt:lpstr>12-12</vt:lpstr>
      <vt:lpstr>12-6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Redmer</dc:creator>
  <cp:lastModifiedBy>Adam Redmer</cp:lastModifiedBy>
  <dcterms:created xsi:type="dcterms:W3CDTF">2025-12-15T18:56:41Z</dcterms:created>
  <dcterms:modified xsi:type="dcterms:W3CDTF">2026-01-17T02:02:40Z</dcterms:modified>
</cp:coreProperties>
</file>